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ile aku\CHAPTER 3\"/>
    </mc:Choice>
  </mc:AlternateContent>
  <xr:revisionPtr revIDLastSave="0" documentId="13_ncr:1_{56E65E4E-E73E-4CE6-A443-21A9D10B627C}" xr6:coauthVersionLast="47" xr6:coauthVersionMax="47" xr10:uidLastSave="{00000000-0000-0000-0000-000000000000}"/>
  <bookViews>
    <workbookView xWindow="-110" yWindow="-110" windowWidth="19420" windowHeight="11020" activeTab="3" xr2:uid="{693565E2-392B-4565-A682-3DF03F4B8C70}"/>
  </bookViews>
  <sheets>
    <sheet name="CATATAN" sheetId="4" r:id="rId1"/>
    <sheet name="LEVEL 1" sheetId="5" r:id="rId2"/>
    <sheet name="LEVEL 2" sheetId="1" r:id="rId3"/>
    <sheet name="LEVEL 3" sheetId="2" r:id="rId4"/>
    <sheet name="LEVEL 4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6" l="1"/>
  <c r="O1" i="2"/>
  <c r="D10" i="1" l="1"/>
  <c r="D11" i="1"/>
  <c r="D12" i="1"/>
  <c r="D13" i="1"/>
  <c r="D14" i="1"/>
  <c r="D15" i="1"/>
  <c r="D16" i="1"/>
  <c r="C16" i="1"/>
  <c r="C17" i="1"/>
  <c r="D17" i="1" s="1"/>
  <c r="C18" i="1"/>
  <c r="D18" i="1" s="1"/>
  <c r="H2" i="6"/>
  <c r="F6" i="2"/>
  <c r="C67" i="2"/>
  <c r="G62" i="2" l="1"/>
  <c r="C61" i="2"/>
  <c r="G57" i="2"/>
  <c r="B24" i="2"/>
  <c r="D34" i="1"/>
  <c r="D33" i="1"/>
  <c r="D32" i="1"/>
  <c r="D3" i="1" s="1"/>
  <c r="J24" i="5"/>
  <c r="J21" i="5" l="1"/>
  <c r="J18" i="5"/>
  <c r="J15" i="5"/>
  <c r="J12" i="5"/>
  <c r="I30" i="5" s="1"/>
  <c r="F2" i="5" s="1"/>
  <c r="O1" i="1" s="1"/>
  <c r="G14" i="6"/>
  <c r="G15" i="6"/>
  <c r="G16" i="6"/>
  <c r="G17" i="6"/>
  <c r="G18" i="6"/>
  <c r="G19" i="6"/>
  <c r="G20" i="6"/>
  <c r="G21" i="6"/>
  <c r="B24" i="6"/>
  <c r="G13" i="6"/>
  <c r="G12" i="6"/>
  <c r="F18" i="4"/>
  <c r="F19" i="4"/>
  <c r="F17" i="4"/>
  <c r="F16" i="4"/>
  <c r="I15" i="2"/>
  <c r="I16" i="2"/>
  <c r="I17" i="2"/>
  <c r="I18" i="2"/>
  <c r="I19" i="2"/>
  <c r="I20" i="2"/>
  <c r="I21" i="2"/>
  <c r="I14" i="2"/>
  <c r="H15" i="2"/>
  <c r="H17" i="2"/>
  <c r="H18" i="2"/>
  <c r="H19" i="2"/>
  <c r="H20" i="2"/>
  <c r="H21" i="2"/>
  <c r="H14" i="2"/>
  <c r="H25" i="2" l="1"/>
  <c r="I15" i="6"/>
  <c r="I11" i="6"/>
  <c r="I23" i="2"/>
  <c r="H23" i="2"/>
</calcChain>
</file>

<file path=xl/sharedStrings.xml><?xml version="1.0" encoding="utf-8"?>
<sst xmlns="http://schemas.openxmlformats.org/spreadsheetml/2006/main" count="228" uniqueCount="164">
  <si>
    <t>NO</t>
  </si>
  <si>
    <t>DATA</t>
  </si>
  <si>
    <t>CEK OTOMATIS</t>
  </si>
  <si>
    <t>PERINTAH</t>
  </si>
  <si>
    <t>TANGGAL</t>
  </si>
  <si>
    <t>02/06/2026</t>
  </si>
  <si>
    <r>
      <t xml:space="preserve">Ubah data berikut agar </t>
    </r>
    <r>
      <rPr>
        <b/>
        <sz val="11"/>
        <color theme="1"/>
        <rFont val="Calibri"/>
        <family val="2"/>
        <scheme val="minor"/>
      </rPr>
      <t>dibaca Excel sebagai ANGKA</t>
    </r>
  </si>
  <si>
    <t xml:space="preserve">Aturan : </t>
  </si>
  <si>
    <r>
      <t xml:space="preserve">Ubah data berikut agar </t>
    </r>
    <r>
      <rPr>
        <b/>
        <sz val="11"/>
        <color theme="1"/>
        <rFont val="Calibri"/>
        <family val="2"/>
        <scheme val="minor"/>
      </rPr>
      <t>dibaca Excel sebagai DATE</t>
    </r>
  </si>
  <si>
    <t>NAMA BARANG</t>
  </si>
  <si>
    <t>QUANTITY</t>
  </si>
  <si>
    <t>HARGA BARANG</t>
  </si>
  <si>
    <t>DI TOKO 1</t>
  </si>
  <si>
    <t>DI TOKO 2</t>
  </si>
  <si>
    <t>22-DEC</t>
  </si>
  <si>
    <t>15 Dec</t>
  </si>
  <si>
    <t>PULPEN HITAM</t>
  </si>
  <si>
    <t>TINTA PRINTER</t>
  </si>
  <si>
    <t>BUKU TULIS</t>
  </si>
  <si>
    <t>PENSIL</t>
  </si>
  <si>
    <t>KERTAS HVS</t>
  </si>
  <si>
    <t>PENGGARIS</t>
  </si>
  <si>
    <t>GUNTING</t>
  </si>
  <si>
    <t>TOTAL</t>
  </si>
  <si>
    <t>=E7*F7</t>
  </si>
  <si>
    <t>Bikin data ini rapi, enak dibaca, dan siap dipresentasikan ke atasan.</t>
  </si>
  <si>
    <t>KLIK INI</t>
  </si>
  <si>
    <t>300 PCS</t>
  </si>
  <si>
    <t>Tanggal</t>
  </si>
  <si>
    <t>Harga</t>
  </si>
  <si>
    <t>Nama barang</t>
  </si>
  <si>
    <t>10/9</t>
  </si>
  <si>
    <t>17-sep</t>
  </si>
  <si>
    <t>Foundation</t>
  </si>
  <si>
    <t>Lipstick</t>
  </si>
  <si>
    <t>Serum</t>
  </si>
  <si>
    <t>Lipmask</t>
  </si>
  <si>
    <t>STOCK</t>
  </si>
  <si>
    <t>120,000</t>
  </si>
  <si>
    <t>50,000</t>
  </si>
  <si>
    <t>RP. 40,000</t>
  </si>
  <si>
    <t>30</t>
  </si>
  <si>
    <t>Hitung ada berapa format tanggal yg salah di kolom "Tanggal"</t>
  </si>
  <si>
    <t>Perhatikan Tabel Berikut ini untuk menjawab Pertanyaan no 4-6</t>
  </si>
  <si>
    <t>JAWABAN KAMU</t>
  </si>
  <si>
    <t>PERTANYAAN</t>
  </si>
  <si>
    <t>Hitung ada berapa format yg bukan angka di kolom"Stock"</t>
  </si>
  <si>
    <t>Hitung ada berapa format yg bukan angka di kolom "Harga"</t>
  </si>
  <si>
    <t>Nama Barang</t>
  </si>
  <si>
    <t>Quantity</t>
  </si>
  <si>
    <t>5.000,000</t>
  </si>
  <si>
    <t>Ket</t>
  </si>
  <si>
    <t>Handphone</t>
  </si>
  <si>
    <t>2000000</t>
  </si>
  <si>
    <t>Total</t>
  </si>
  <si>
    <t>Earphone</t>
  </si>
  <si>
    <t>'90</t>
  </si>
  <si>
    <t>70 PCS</t>
  </si>
  <si>
    <t>Ada 30</t>
  </si>
  <si>
    <t>Qty</t>
  </si>
  <si>
    <t>Harga 1</t>
  </si>
  <si>
    <t>Harga 2</t>
  </si>
  <si>
    <t>Webcam</t>
  </si>
  <si>
    <t>Keyboard</t>
  </si>
  <si>
    <t>Monitor</t>
  </si>
  <si>
    <t>Speaker</t>
  </si>
  <si>
    <t>Printer</t>
  </si>
  <si>
    <t>Mouse</t>
  </si>
  <si>
    <t>Laptop</t>
  </si>
  <si>
    <t>Scanner</t>
  </si>
  <si>
    <t>Jawaban Kamu</t>
  </si>
  <si>
    <t>Aturan</t>
  </si>
  <si>
    <t>A3:E9</t>
  </si>
  <si>
    <t>JAWABAN DIATAS DIBACANYA : DARI RANGE A3 SAMPAI E9</t>
  </si>
  <si>
    <t>CEK</t>
  </si>
  <si>
    <t>Tabel dibawah ini ada angka yg dianggap teks sehingga hasil penjumlahan,perkalian dan sebagainya bisa salah</t>
  </si>
  <si>
    <t>Kembali lagi ke soal klik ini :</t>
  </si>
  <si>
    <t>Kembali Ke Soal</t>
  </si>
  <si>
    <t>LATIHAN CHAPTER 1 , 2 &amp; 3</t>
  </si>
  <si>
    <t>'2500000</t>
  </si>
  <si>
    <t>Headset</t>
  </si>
  <si>
    <t>Petunjuk :</t>
  </si>
  <si>
    <t>(10/05/2026)</t>
  </si>
  <si>
    <t>Tgl: 01/01/2026</t>
  </si>
  <si>
    <t>Atau bisa aja ga value, ga error, tapi kalo data ga rapi hasil jadi salah. Itu seharusnya jika dijumlahkan jadi 190. tapi hasil disitu 100. Karena 90 dianggap bukan angka.</t>
  </si>
  <si>
    <t>Klik link di bawah ini untuk melihat tabel yang benar.</t>
  </si>
  <si>
    <t>LATIHAN : TEKS &amp; ANGKA</t>
  </si>
  <si>
    <t>LANJUT LEVEL 3</t>
  </si>
  <si>
    <t>KALAU SUDAH, AYO LANJUT KE LEVEL 4~</t>
  </si>
  <si>
    <t xml:space="preserve"> (SEMUA SESUAI PENJELASAN YG ADA DI CHAPTER 1,2 &amp; 3. JADI PASTIKAN TONTON VIDEONYA TERLEBIH DAHULU)</t>
  </si>
  <si>
    <t xml:space="preserve">Info tentang range : </t>
  </si>
  <si>
    <t xml:space="preserve">pelajari cara baca range. </t>
  </si>
  <si>
    <t>Info Tentang angka dan teks</t>
  </si>
  <si>
    <t>Jika soal diatas tidak sesuai dengan warna tabel di sampingnya, hal tersebut dapat terjadi karena perbedaan versi Excel saat file dikirim, sehingga warna sel bisa berubah.</t>
  </si>
  <si>
    <t>No</t>
  </si>
  <si>
    <t>Total 2500000</t>
  </si>
  <si>
    <t>Ada 3</t>
  </si>
  <si>
    <t>ada 2</t>
  </si>
  <si>
    <t>Ada5</t>
  </si>
  <si>
    <t>Quantity nya 4</t>
  </si>
  <si>
    <t>jadi 150000</t>
  </si>
  <si>
    <t>Rapikan data berikut agar dapat dibaca Excel dengan benar.</t>
  </si>
  <si>
    <t>INTRUKSI :</t>
  </si>
  <si>
    <r>
      <t xml:space="preserve">Isi kolom </t>
    </r>
    <r>
      <rPr>
        <b/>
        <sz val="11"/>
        <color theme="0"/>
        <rFont val="Calibri"/>
        <family val="2"/>
        <scheme val="minor"/>
      </rPr>
      <t>No</t>
    </r>
    <r>
      <rPr>
        <sz val="11"/>
        <color theme="0"/>
        <rFont val="Calibri"/>
        <family val="2"/>
        <scheme val="minor"/>
      </rPr>
      <t xml:space="preserve"> menggunakan </t>
    </r>
    <r>
      <rPr>
        <b/>
        <sz val="11"/>
        <color theme="0"/>
        <rFont val="Calibri"/>
        <family val="2"/>
        <scheme val="minor"/>
      </rPr>
      <t>drag</t>
    </r>
    <r>
      <rPr>
        <sz val="11"/>
        <color theme="0"/>
        <rFont val="Calibri"/>
        <family val="2"/>
        <scheme val="minor"/>
      </rPr>
      <t>, bukan diketik manual.</t>
    </r>
  </si>
  <si>
    <r>
      <t xml:space="preserve">Pastikan seluruh nilai </t>
    </r>
    <r>
      <rPr>
        <b/>
        <sz val="11"/>
        <color theme="0"/>
        <rFont val="Calibri"/>
        <family val="2"/>
        <scheme val="minor"/>
      </rPr>
      <t>Quantity</t>
    </r>
    <r>
      <rPr>
        <sz val="11"/>
        <color theme="0"/>
        <rFont val="Calibri"/>
        <family val="2"/>
        <scheme val="minor"/>
      </rPr>
      <t xml:space="preserve"> dan </t>
    </r>
    <r>
      <rPr>
        <b/>
        <sz val="11"/>
        <color theme="0"/>
        <rFont val="Calibri"/>
        <family val="2"/>
        <scheme val="minor"/>
      </rPr>
      <t>Harga</t>
    </r>
    <r>
      <rPr>
        <sz val="11"/>
        <color theme="0"/>
        <rFont val="Calibri"/>
        <family val="2"/>
        <scheme val="minor"/>
      </rPr>
      <t xml:space="preserve"> dikenali sebagai </t>
    </r>
    <r>
      <rPr>
        <b/>
        <sz val="11"/>
        <color theme="0"/>
        <rFont val="Calibri"/>
        <family val="2"/>
        <scheme val="minor"/>
      </rPr>
      <t>angka</t>
    </r>
    <r>
      <rPr>
        <sz val="11"/>
        <color theme="0"/>
        <rFont val="Calibri"/>
        <family val="2"/>
        <scheme val="minor"/>
      </rPr>
      <t>,</t>
    </r>
  </si>
  <si>
    <r>
      <t xml:space="preserve">sehingga kolom </t>
    </r>
    <r>
      <rPr>
        <b/>
        <sz val="11"/>
        <color theme="0"/>
        <rFont val="Calibri"/>
        <family val="2"/>
        <scheme val="minor"/>
      </rPr>
      <t>TOTAL</t>
    </r>
    <r>
      <rPr>
        <sz val="11"/>
        <color theme="0"/>
        <rFont val="Calibri"/>
        <family val="2"/>
        <scheme val="minor"/>
      </rPr>
      <t xml:space="preserve"> dapat dihitung tanpa menghasilkan </t>
    </r>
    <r>
      <rPr>
        <b/>
        <sz val="11"/>
        <color theme="0"/>
        <rFont val="Calibri"/>
        <family val="2"/>
        <scheme val="minor"/>
      </rPr>
      <t>#VALUE!</t>
    </r>
    <r>
      <rPr>
        <sz val="11"/>
        <color theme="0"/>
        <rFont val="Calibri"/>
        <family val="2"/>
        <scheme val="minor"/>
      </rPr>
      <t>.</t>
    </r>
  </si>
  <si>
    <r>
      <t xml:space="preserve">3. Pastikan kolom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Harga</t>
    </r>
    <r>
      <rPr>
        <sz val="11"/>
        <color theme="1"/>
        <rFont val="Calibri"/>
        <family val="2"/>
        <scheme val="minor"/>
      </rPr>
      <t xml:space="preserve"> hanya berisi </t>
    </r>
    <r>
      <rPr>
        <b/>
        <sz val="11"/>
        <color theme="1"/>
        <rFont val="Calibri"/>
        <family val="2"/>
        <scheme val="minor"/>
      </rPr>
      <t>angka</t>
    </r>
    <r>
      <rPr>
        <sz val="11"/>
        <color theme="1"/>
        <rFont val="Calibri"/>
        <family val="2"/>
        <scheme val="minor"/>
      </rPr>
      <t>, tanpa teks atau simbol.</t>
    </r>
  </si>
  <si>
    <t>PETUNJUK :</t>
  </si>
  <si>
    <r>
      <t xml:space="preserve">2. Lengkapi kolom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dengan memanfaatkan </t>
    </r>
    <r>
      <rPr>
        <b/>
        <sz val="11"/>
        <color theme="1"/>
        <rFont val="Calibri"/>
        <family val="2"/>
        <scheme val="minor"/>
      </rPr>
      <t>pola</t>
    </r>
    <r>
      <rPr>
        <sz val="11"/>
        <color theme="1"/>
        <rFont val="Calibri"/>
        <family val="2"/>
        <scheme val="minor"/>
      </rPr>
      <t>. (drag)</t>
    </r>
  </si>
  <si>
    <t>Baca range nya berdasarkan kolom dan baris yg ada di gambar tersebut.</t>
  </si>
  <si>
    <t>AYO KERJAKAN LATIHANNYA ~</t>
  </si>
  <si>
    <t>Untuk mengerjakan latihan ini, mohon gunakan aplikasi Microsoft Excel di laptop atau komputer.</t>
  </si>
  <si>
    <t>Tidak disarankan membuka file ini melalui Google Sheets atau perangkat seluler, karena dapat menyebabkan perbedaan hasil atau error.</t>
  </si>
  <si>
    <r>
      <t xml:space="preserve">1. Rapikan tabel menggunakan </t>
    </r>
    <r>
      <rPr>
        <b/>
        <sz val="11"/>
        <color theme="1"/>
        <rFont val="Calibri"/>
        <family val="2"/>
        <scheme val="minor"/>
      </rPr>
      <t>border</t>
    </r>
    <r>
      <rPr>
        <sz val="11"/>
        <color theme="1"/>
        <rFont val="Calibri"/>
        <family val="2"/>
        <scheme val="minor"/>
      </rPr>
      <t xml:space="preserve"> agar struktur data terlihat jelas.</t>
    </r>
  </si>
  <si>
    <r>
      <t xml:space="preserve">2. Gunakan </t>
    </r>
    <r>
      <rPr>
        <b/>
        <sz val="11"/>
        <color theme="1"/>
        <rFont val="Calibri"/>
        <family val="2"/>
        <scheme val="minor"/>
      </rPr>
      <t>warna (fill color)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pada judul dan header tabel.</t>
    </r>
  </si>
  <si>
    <r>
      <t xml:space="preserve">3. Atur </t>
    </r>
    <r>
      <rPr>
        <b/>
        <sz val="11"/>
        <color theme="1"/>
        <rFont val="Calibri"/>
        <family val="2"/>
        <scheme val="minor"/>
      </rPr>
      <t>merge &amp; alignment</t>
    </r>
    <r>
      <rPr>
        <sz val="11"/>
        <color theme="1"/>
        <rFont val="Calibri"/>
        <family val="2"/>
        <scheme val="minor"/>
      </rPr>
      <t xml:space="preserve"> pada bagian judul agar tampilan rapi dan proporsional.</t>
    </r>
  </si>
  <si>
    <r>
      <t xml:space="preserve">5. Pastikan tampilan akhir </t>
    </r>
    <r>
      <rPr>
        <b/>
        <sz val="11"/>
        <color theme="1"/>
        <rFont val="Calibri"/>
        <family val="2"/>
        <scheme val="minor"/>
      </rPr>
      <t>menyerupai contoh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siap untuk dipresentasikan ke atasan</t>
    </r>
    <r>
      <rPr>
        <sz val="11"/>
        <color theme="1"/>
        <rFont val="Calibri"/>
        <family val="2"/>
        <scheme val="minor"/>
      </rPr>
      <t>.</t>
    </r>
  </si>
  <si>
    <t>4. Perhatikan isi asli sel melalui Formula Bar untuk memastikan tidak ada data atau perhitungan yang terbaca sebagai teks.</t>
  </si>
  <si>
    <t>Latihan ini sangat penting untuk dikuasai terlebih dahulu, sebelum kamu mempelajari rumus excel.</t>
  </si>
  <si>
    <t>Rangkuman Poin Penting :</t>
  </si>
  <si>
    <r>
      <t xml:space="preserve">Tips: Untuk memastikan apakah data dibaca sebagai angka atau teks, perhatikan isi sel di </t>
    </r>
    <r>
      <rPr>
        <b/>
        <sz val="11"/>
        <color theme="1"/>
        <rFont val="Calibri"/>
        <family val="2"/>
        <scheme val="minor"/>
      </rPr>
      <t>Formula Bar</t>
    </r>
    <r>
      <rPr>
        <sz val="11"/>
        <color theme="1"/>
        <rFont val="Calibri"/>
        <family val="2"/>
        <scheme val="minor"/>
      </rPr>
      <t>.</t>
    </r>
  </si>
  <si>
    <r>
      <t xml:space="preserve">Jika muncul </t>
    </r>
    <r>
      <rPr>
        <sz val="10"/>
        <color theme="1"/>
        <rFont val="Arial Unicode MS"/>
      </rPr>
      <t>#VALUE!</t>
    </r>
    <r>
      <rPr>
        <sz val="11"/>
        <color theme="1"/>
        <rFont val="Calibri"/>
        <family val="2"/>
        <scheme val="minor"/>
      </rPr>
      <t>, berarti ada data yang terbaca sebagai teks. Pastikan data sudah rapi.</t>
    </r>
  </si>
  <si>
    <t>Info tentang Drag :</t>
  </si>
  <si>
    <t>Gunakan drag untuk mengisi data berurutan agar Excel dapat mengenali polanya.</t>
  </si>
  <si>
    <t>Tabel diatas itu ada di range B15 sampai G22 (B15:G22)</t>
  </si>
  <si>
    <t>Gambar diatas itu data yg sama ya, Tapi itu hasil yg sudah dirapihin.</t>
  </si>
  <si>
    <t>No 4-6 =Perhatikan tabelnya,lihat di formula bar untuk cek ada berapa yg salah, lalu isi jawabanmu dengan angka !</t>
  </si>
  <si>
    <t>Lihat gambar dibawah ini jika warna tabel di atas tidak sesuai soal :</t>
  </si>
  <si>
    <t>No 1-3 =Selalu cek formula bar ! Pastikan itu angka, kalau ada teks langsung edit datanya yaa.</t>
  </si>
  <si>
    <t>"'1500000</t>
  </si>
  <si>
    <t>- 9000000</t>
  </si>
  <si>
    <r>
      <t xml:space="preserve">1. Error #VALUE! muncul karena data tidak rapi. Perhatikan bagaimana Excel membaca </t>
    </r>
    <r>
      <rPr>
        <b/>
        <sz val="11"/>
        <color theme="1"/>
        <rFont val="Calibri"/>
        <family val="2"/>
        <scheme val="minor"/>
      </rPr>
      <t>isi asli sel</t>
    </r>
    <r>
      <rPr>
        <sz val="11"/>
        <color theme="1"/>
        <rFont val="Calibri"/>
        <family val="2"/>
        <scheme val="minor"/>
      </rPr>
      <t>, bukan tampilannya.</t>
    </r>
  </si>
  <si>
    <t>MISI LEVEL 1 :</t>
  </si>
  <si>
    <t>Misi Level 2 :</t>
  </si>
  <si>
    <t>Tes Kemampuan Membaca &amp; Menuliskan Range Excel</t>
  </si>
  <si>
    <t>Perhatikan tabel disamping kiri,lalu</t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</si>
  <si>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hijau</t>
    </r>
    <r>
      <rPr>
        <sz val="10"/>
        <color theme="1"/>
        <rFont val="Calibri"/>
        <family val="2"/>
        <scheme val="minor"/>
      </rPr>
      <t>. Tuliskan range awal hingga range akhir dari area tersebut.</t>
    </r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</si>
  <si>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kuning.</t>
    </r>
    <r>
      <rPr>
        <sz val="10"/>
        <color theme="1"/>
        <rFont val="Calibri"/>
        <family val="2"/>
        <scheme val="minor"/>
      </rPr>
      <t xml:space="preserve">
Tuliskan range awal hingga range akhir dari area tersebut.</t>
    </r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</si>
  <si>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pink.</t>
    </r>
    <r>
      <rPr>
        <sz val="10"/>
        <color theme="1"/>
        <rFont val="Calibri"/>
        <family val="2"/>
        <scheme val="minor"/>
      </rPr>
      <t xml:space="preserve"> Tuliskan range awal hingga range akhir dari area tersebut.</t>
    </r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</si>
  <si>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merah</t>
    </r>
    <r>
      <rPr>
        <sz val="10"/>
        <color theme="1"/>
        <rFont val="Calibri"/>
        <family val="2"/>
        <scheme val="minor"/>
      </rPr>
      <t xml:space="preserve"> Tuliskan range awal hingga range akhir dari area tersebut.</t>
    </r>
  </si>
  <si>
    <r>
      <t xml:space="preserve">Di kolom B, terdapat data barang </t>
    </r>
    <r>
      <rPr>
        <b/>
        <sz val="10"/>
        <color theme="1"/>
        <rFont val="Calibri"/>
        <family val="2"/>
        <scheme val="minor"/>
      </rPr>
      <t>“TINTA PRINTER”</t>
    </r>
    <r>
      <rPr>
        <sz val="10"/>
        <color theme="1"/>
        <rFont val="Calibri"/>
        <family val="2"/>
        <scheme val="minor"/>
      </rPr>
      <t>. Tentukan range cell tempat data tersebut berada.</t>
    </r>
  </si>
  <si>
    <r>
      <t xml:space="preserve">Jawaban </t>
    </r>
    <r>
      <rPr>
        <b/>
        <sz val="11"/>
        <color theme="1"/>
        <rFont val="Calibri"/>
        <family val="2"/>
        <scheme val="minor"/>
      </rPr>
      <t>harus ditulis dalam bentuk range Excel. Contoh :</t>
    </r>
  </si>
  <si>
    <t>Status Misi :</t>
  </si>
  <si>
    <t>Status Level saat ini :</t>
  </si>
  <si>
    <t>UBAH PERSIS SEPERTI GAMBAR DIBAWAH INI :</t>
  </si>
  <si>
    <t>Salin (copy) hasil perhitungan yang sudah ada, lalu tempelkan sebagai nilai (Paste as Values) pada kolom C16 sampai C18</t>
  </si>
  <si>
    <t>Misi Level 3:</t>
  </si>
  <si>
    <t>ATURAN :</t>
  </si>
  <si>
    <t>STATUS MISI SAAT INI :</t>
  </si>
  <si>
    <t>Tabel data barang</t>
  </si>
  <si>
    <t>Rapikan dan ubah 'Tabel data barang' hingga memiliki tampilan, struktur, dan format yang sama dengan contoh tabel pada gambar referensi di bawah (baris 35). Pastikan hasil akhir siap untuk dipresentasikan.</t>
  </si>
  <si>
    <t>Latihan : Tools Dasar Excel - Merapikan tabel kerja</t>
  </si>
  <si>
    <t>PULPEN BIRUUU</t>
  </si>
  <si>
    <t>APAKAH TABEL SUDAH SAMA PERSIS DENGAN CONTOH GAMBARNYA?</t>
  </si>
  <si>
    <t>ISI DENGAN SUDAH/BELUM</t>
  </si>
  <si>
    <t>BELUM</t>
  </si>
  <si>
    <t>SUDAH</t>
  </si>
  <si>
    <t>Misi Level 4:</t>
  </si>
  <si>
    <t>Merapikan data mentah (raw data) agar dapat dibaca dan diproses oleh Excel dengan benar.</t>
  </si>
  <si>
    <t>Status misi saat ini :</t>
  </si>
  <si>
    <t xml:space="preserve">✨ Ubah data di kolom DATA sampai kolom CEK OTOMATIS menampilkan "YEAY BENERR" </t>
  </si>
  <si>
    <t>SELESAIKAN LEVEL 1 UNTUK MEMBUKA LEVEL 2</t>
  </si>
  <si>
    <t>SELESAIKAN LEVEL 2 UNTUK MEMBUKA LEVEL 3</t>
  </si>
  <si>
    <t>SELESAIKAN LEVEL 3 UNTUK MEMBUKA 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</si>
</sst>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yyyy\-mm\-dd"/>
    <numFmt numFmtId="165" formatCode="#,##0&quot; PCS&quot;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669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6699"/>
      <name val="Comic Sans MS"/>
      <family val="4"/>
    </font>
    <font>
      <b/>
      <u/>
      <sz val="12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Arial"/>
      <family val="2"/>
    </font>
    <font>
      <sz val="11"/>
      <color theme="8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8"/>
      <color theme="8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i/>
      <sz val="12"/>
      <color theme="8" tint="-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6AC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indexed="64"/>
      </right>
      <top/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indexed="64"/>
      </right>
      <top/>
      <bottom style="medium">
        <color theme="4" tint="-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DashDotDot">
        <color theme="0"/>
      </left>
      <right style="mediumDashDotDot">
        <color theme="0"/>
      </right>
      <top style="mediumDashDotDot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4" tint="-0.499984740745262"/>
      </right>
      <top style="medium">
        <color theme="1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1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1"/>
      </right>
      <top style="medium">
        <color theme="1"/>
      </top>
      <bottom style="medium">
        <color theme="4" tint="-0.499984740745262"/>
      </bottom>
      <diagonal/>
    </border>
    <border>
      <left style="medium">
        <color theme="1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1"/>
      </right>
      <top/>
      <bottom style="thin">
        <color theme="4" tint="-0.499984740745262"/>
      </bottom>
      <diagonal/>
    </border>
    <border>
      <left style="medium">
        <color theme="1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1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1"/>
      </left>
      <right style="thin">
        <color theme="4" tint="-0.499984740745262"/>
      </right>
      <top style="thin">
        <color theme="4" tint="-0.499984740745262"/>
      </top>
      <bottom style="medium">
        <color theme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1"/>
      </bottom>
      <diagonal/>
    </border>
    <border>
      <left style="thin">
        <color theme="4" tint="-0.499984740745262"/>
      </left>
      <right style="medium">
        <color theme="1"/>
      </right>
      <top style="thin">
        <color theme="4" tint="-0.499984740745262"/>
      </top>
      <bottom style="medium">
        <color theme="1"/>
      </bottom>
      <diagonal/>
    </border>
    <border>
      <left style="slantDashDot">
        <color theme="8" tint="-0.499984740745262"/>
      </left>
      <right style="slantDashDot">
        <color theme="8" tint="-0.499984740745262"/>
      </right>
      <top style="slantDashDot">
        <color theme="8" tint="-0.499984740745262"/>
      </top>
      <bottom style="slantDashDot">
        <color theme="8" tint="-0.4999847407452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1"/>
      </left>
      <right style="thick">
        <color theme="8" tint="-0.499984740745262"/>
      </right>
      <top style="thin">
        <color theme="1"/>
      </top>
      <bottom/>
      <diagonal/>
    </border>
    <border>
      <left style="thin">
        <color theme="1"/>
      </left>
      <right style="thick">
        <color theme="8" tint="-0.499984740745262"/>
      </right>
      <top/>
      <bottom/>
      <diagonal/>
    </border>
    <border>
      <left style="thin">
        <color theme="1"/>
      </left>
      <right style="thick">
        <color theme="8" tint="-0.499984740745262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slantDashDot">
        <color theme="8" tint="-0.499984740745262"/>
      </left>
      <right/>
      <top style="slantDashDot">
        <color theme="8" tint="-0.499984740745262"/>
      </top>
      <bottom style="slantDashDot">
        <color theme="8" tint="-0.499984740745262"/>
      </bottom>
      <diagonal/>
    </border>
    <border>
      <left style="slantDashDot">
        <color theme="8" tint="-0.499984740745262"/>
      </left>
      <right style="slantDashDot">
        <color theme="8" tint="-0.499984740745262"/>
      </right>
      <top style="slantDashDot">
        <color theme="8" tint="-0.499984740745262"/>
      </top>
      <bottom/>
      <diagonal/>
    </border>
    <border>
      <left/>
      <right/>
      <top style="slantDashDot">
        <color theme="8" tint="-0.499984740745262"/>
      </top>
      <bottom style="slantDashDot">
        <color theme="8" tint="-0.499984740745262"/>
      </bottom>
      <diagonal/>
    </border>
    <border>
      <left style="slantDashDot">
        <color theme="8" tint="0.39997558519241921"/>
      </left>
      <right/>
      <top style="slantDashDot">
        <color theme="8" tint="0.39997558519241921"/>
      </top>
      <bottom style="slantDashDot">
        <color theme="8" tint="0.39997558519241921"/>
      </bottom>
      <diagonal/>
    </border>
    <border>
      <left/>
      <right/>
      <top style="slantDashDot">
        <color theme="8" tint="0.39997558519241921"/>
      </top>
      <bottom style="slantDashDot">
        <color theme="8" tint="0.39997558519241921"/>
      </bottom>
      <diagonal/>
    </border>
    <border>
      <left/>
      <right style="slantDashDot">
        <color theme="8" tint="0.39997558519241921"/>
      </right>
      <top style="slantDashDot">
        <color theme="8" tint="0.39997558519241921"/>
      </top>
      <bottom style="slantDashDot">
        <color theme="8" tint="0.39997558519241921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0.39997558519241921"/>
      </left>
      <right style="slantDashDot">
        <color theme="8" tint="-0.499984740745262"/>
      </right>
      <top style="double">
        <color theme="8" tint="0.39997558519241921"/>
      </top>
      <bottom/>
      <diagonal/>
    </border>
    <border>
      <left style="slantDashDot">
        <color theme="8" tint="-0.499984740745262"/>
      </left>
      <right style="double">
        <color theme="8" tint="0.39997558519241921"/>
      </right>
      <top style="double">
        <color theme="8" tint="0.39997558519241921"/>
      </top>
      <bottom/>
      <diagonal/>
    </border>
    <border>
      <left style="double">
        <color theme="8" tint="-0.249977111117893"/>
      </left>
      <right/>
      <top style="double">
        <color theme="8" tint="-0.249977111117893"/>
      </top>
      <bottom/>
      <diagonal/>
    </border>
    <border>
      <left/>
      <right/>
      <top style="double">
        <color theme="8" tint="-0.249977111117893"/>
      </top>
      <bottom/>
      <diagonal/>
    </border>
    <border>
      <left/>
      <right style="double">
        <color theme="8" tint="-0.249977111117893"/>
      </right>
      <top style="double">
        <color theme="8" tint="-0.249977111117893"/>
      </top>
      <bottom/>
      <diagonal/>
    </border>
    <border>
      <left style="double">
        <color theme="8" tint="-0.249977111117893"/>
      </left>
      <right/>
      <top/>
      <bottom/>
      <diagonal/>
    </border>
    <border>
      <left/>
      <right style="double">
        <color theme="8" tint="-0.249977111117893"/>
      </right>
      <top/>
      <bottom/>
      <diagonal/>
    </border>
    <border>
      <left style="double">
        <color theme="8" tint="-0.249977111117893"/>
      </left>
      <right/>
      <top/>
      <bottom style="double">
        <color theme="8" tint="-0.249977111117893"/>
      </bottom>
      <diagonal/>
    </border>
    <border>
      <left/>
      <right/>
      <top/>
      <bottom style="double">
        <color theme="8" tint="-0.249977111117893"/>
      </bottom>
      <diagonal/>
    </border>
    <border>
      <left/>
      <right style="double">
        <color theme="8" tint="-0.249977111117893"/>
      </right>
      <top/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/>
      <diagonal/>
    </border>
    <border>
      <left style="double">
        <color theme="8" tint="-0.249977111117893"/>
      </left>
      <right style="double">
        <color theme="8" tint="-0.249977111117893"/>
      </right>
      <top/>
      <bottom/>
      <diagonal/>
    </border>
    <border>
      <left style="double">
        <color theme="8" tint="-0.249977111117893"/>
      </left>
      <right style="double">
        <color theme="8" tint="-0.249977111117893"/>
      </right>
      <top/>
      <bottom style="double">
        <color theme="8" tint="-0.249977111117893"/>
      </bottom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/>
      <right/>
      <top/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71">
    <xf numFmtId="0" fontId="0" fillId="0" borderId="0" xfId="0"/>
    <xf numFmtId="0" fontId="3" fillId="0" borderId="0" xfId="0" applyFont="1"/>
    <xf numFmtId="0" fontId="0" fillId="0" borderId="1" xfId="0" applyBorder="1"/>
    <xf numFmtId="41" fontId="0" fillId="0" borderId="1" xfId="1" applyFont="1" applyBorder="1"/>
    <xf numFmtId="41" fontId="0" fillId="0" borderId="0" xfId="1" applyFont="1"/>
    <xf numFmtId="41" fontId="0" fillId="0" borderId="0" xfId="1" applyFont="1" applyBorder="1"/>
    <xf numFmtId="41" fontId="0" fillId="0" borderId="0" xfId="0" applyNumberFormat="1"/>
    <xf numFmtId="16" fontId="0" fillId="0" borderId="0" xfId="0" applyNumberFormat="1" applyAlignment="1">
      <alignment horizontal="left"/>
    </xf>
    <xf numFmtId="16" fontId="0" fillId="0" borderId="0" xfId="0" quotePrefix="1" applyNumberFormat="1" applyAlignment="1">
      <alignment horizontal="left"/>
    </xf>
    <xf numFmtId="41" fontId="0" fillId="0" borderId="0" xfId="0" quotePrefix="1" applyNumberFormat="1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4" fillId="2" borderId="0" xfId="0" applyFont="1" applyFill="1" applyProtection="1"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7" fillId="0" borderId="0" xfId="0" applyFont="1"/>
    <xf numFmtId="0" fontId="0" fillId="0" borderId="26" xfId="0" applyBorder="1" applyAlignment="1" applyProtection="1">
      <alignment horizontal="center" vertical="center" wrapText="1"/>
      <protection hidden="1"/>
    </xf>
    <xf numFmtId="0" fontId="0" fillId="0" borderId="28" xfId="0" applyBorder="1" applyAlignment="1" applyProtection="1">
      <alignment horizontal="center" vertical="center" wrapText="1"/>
      <protection hidden="1"/>
    </xf>
    <xf numFmtId="0" fontId="0" fillId="0" borderId="31" xfId="0" applyBorder="1" applyAlignment="1" applyProtection="1">
      <alignment horizontal="center" vertical="center" wrapText="1"/>
      <protection hidden="1"/>
    </xf>
    <xf numFmtId="0" fontId="0" fillId="0" borderId="33" xfId="0" quotePrefix="1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 wrapText="1"/>
      <protection hidden="1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0" fillId="0" borderId="36" xfId="0" quotePrefix="1" applyBorder="1"/>
    <xf numFmtId="0" fontId="0" fillId="0" borderId="40" xfId="0" applyBorder="1"/>
    <xf numFmtId="0" fontId="0" fillId="0" borderId="40" xfId="0" quotePrefix="1" applyBorder="1"/>
    <xf numFmtId="0" fontId="0" fillId="0" borderId="42" xfId="0" applyBorder="1"/>
    <xf numFmtId="41" fontId="0" fillId="0" borderId="36" xfId="1" quotePrefix="1" applyFont="1" applyBorder="1"/>
    <xf numFmtId="0" fontId="4" fillId="2" borderId="38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41" fontId="0" fillId="0" borderId="42" xfId="1" quotePrefix="1" applyFont="1" applyBorder="1"/>
    <xf numFmtId="164" fontId="0" fillId="0" borderId="1" xfId="0" applyNumberFormat="1" applyBorder="1"/>
    <xf numFmtId="0" fontId="0" fillId="4" borderId="1" xfId="0" applyFill="1" applyBorder="1"/>
    <xf numFmtId="41" fontId="0" fillId="4" borderId="1" xfId="1" applyFont="1" applyFill="1" applyBorder="1"/>
    <xf numFmtId="0" fontId="0" fillId="0" borderId="0" xfId="0" applyAlignment="1">
      <alignment horizontal="center" vertical="center" wrapText="1"/>
    </xf>
    <xf numFmtId="0" fontId="3" fillId="0" borderId="36" xfId="0" applyFont="1" applyBorder="1" applyAlignment="1">
      <alignment horizontal="center"/>
    </xf>
    <xf numFmtId="164" fontId="0" fillId="5" borderId="1" xfId="0" applyNumberFormat="1" applyFill="1" applyBorder="1"/>
    <xf numFmtId="0" fontId="0" fillId="5" borderId="1" xfId="0" applyFill="1" applyBorder="1"/>
    <xf numFmtId="41" fontId="0" fillId="5" borderId="1" xfId="1" applyFont="1" applyFill="1" applyBorder="1"/>
    <xf numFmtId="0" fontId="0" fillId="3" borderId="1" xfId="0" applyFill="1" applyBorder="1"/>
    <xf numFmtId="164" fontId="0" fillId="6" borderId="1" xfId="0" applyNumberFormat="1" applyFill="1" applyBorder="1"/>
    <xf numFmtId="0" fontId="10" fillId="0" borderId="0" xfId="2" applyFont="1"/>
    <xf numFmtId="0" fontId="11" fillId="0" borderId="0" xfId="2" applyFont="1"/>
    <xf numFmtId="0" fontId="0" fillId="0" borderId="0" xfId="0" applyAlignment="1" applyProtection="1">
      <alignment horizontal="right"/>
      <protection locked="0"/>
    </xf>
    <xf numFmtId="165" fontId="0" fillId="0" borderId="0" xfId="1" applyNumberFormat="1" applyFont="1" applyAlignment="1" applyProtection="1">
      <alignment horizontal="right"/>
      <protection locked="0"/>
    </xf>
    <xf numFmtId="41" fontId="0" fillId="0" borderId="0" xfId="1" applyFont="1" applyBorder="1" applyAlignment="1" applyProtection="1">
      <alignment horizontal="center" vertical="center"/>
      <protection locked="0"/>
    </xf>
    <xf numFmtId="14" fontId="0" fillId="0" borderId="25" xfId="0" quotePrefix="1" applyNumberFormat="1" applyBorder="1" applyAlignment="1" applyProtection="1">
      <alignment horizontal="center" vertical="center"/>
      <protection locked="0"/>
    </xf>
    <xf numFmtId="14" fontId="0" fillId="0" borderId="21" xfId="0" quotePrefix="1" applyNumberFormat="1" applyBorder="1" applyAlignment="1" applyProtection="1">
      <alignment horizontal="center" vertical="center"/>
      <protection locked="0"/>
    </xf>
    <xf numFmtId="14" fontId="0" fillId="0" borderId="30" xfId="0" applyNumberFormat="1" applyBorder="1" applyAlignment="1" applyProtection="1">
      <alignment horizontal="center" vertical="center"/>
      <protection locked="0"/>
    </xf>
    <xf numFmtId="41" fontId="0" fillId="0" borderId="25" xfId="1" applyFont="1" applyBorder="1" applyAlignment="1" applyProtection="1">
      <alignment horizontal="center" vertical="center"/>
      <protection locked="0"/>
    </xf>
    <xf numFmtId="41" fontId="0" fillId="0" borderId="21" xfId="1" applyFont="1" applyBorder="1" applyAlignment="1" applyProtection="1">
      <alignment horizontal="center" vertical="center"/>
      <protection locked="0"/>
    </xf>
    <xf numFmtId="41" fontId="0" fillId="0" borderId="30" xfId="1" applyFon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14" fillId="0" borderId="0" xfId="0" applyFont="1"/>
    <xf numFmtId="0" fontId="15" fillId="0" borderId="35" xfId="0" applyFont="1" applyBorder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2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0" borderId="0" xfId="2" applyFont="1" applyAlignment="1"/>
    <xf numFmtId="14" fontId="0" fillId="0" borderId="0" xfId="0" applyNumberFormat="1"/>
    <xf numFmtId="1" fontId="0" fillId="0" borderId="0" xfId="0" applyNumberFormat="1"/>
    <xf numFmtId="1" fontId="3" fillId="0" borderId="0" xfId="0" applyNumberFormat="1" applyFont="1"/>
    <xf numFmtId="0" fontId="2" fillId="7" borderId="0" xfId="0" applyFont="1" applyFill="1"/>
    <xf numFmtId="14" fontId="4" fillId="7" borderId="0" xfId="0" applyNumberFormat="1" applyFont="1" applyFill="1"/>
    <xf numFmtId="0" fontId="4" fillId="7" borderId="0" xfId="0" applyFont="1" applyFill="1"/>
    <xf numFmtId="0" fontId="0" fillId="0" borderId="0" xfId="0" applyAlignment="1">
      <alignment wrapText="1"/>
    </xf>
    <xf numFmtId="0" fontId="0" fillId="0" borderId="0" xfId="0" applyProtection="1">
      <protection hidden="1"/>
    </xf>
    <xf numFmtId="1" fontId="0" fillId="0" borderId="0" xfId="0" applyNumberFormat="1" applyAlignment="1" applyProtection="1">
      <alignment vertical="center" wrapText="1"/>
      <protection hidden="1"/>
    </xf>
    <xf numFmtId="1" fontId="4" fillId="9" borderId="2" xfId="1" applyNumberFormat="1" applyFont="1" applyFill="1" applyBorder="1" applyAlignment="1" applyProtection="1">
      <alignment horizontal="center" vertical="center"/>
      <protection locked="0"/>
    </xf>
    <xf numFmtId="14" fontId="4" fillId="9" borderId="2" xfId="1" applyNumberFormat="1" applyFont="1" applyFill="1" applyBorder="1" applyAlignment="1" applyProtection="1">
      <alignment horizontal="center" vertical="center"/>
      <protection locked="0"/>
    </xf>
    <xf numFmtId="41" fontId="4" fillId="9" borderId="2" xfId="1" applyFont="1" applyFill="1" applyBorder="1" applyAlignment="1" applyProtection="1">
      <alignment horizontal="center" vertical="center"/>
      <protection locked="0"/>
    </xf>
    <xf numFmtId="1" fontId="0" fillId="10" borderId="51" xfId="1" applyNumberFormat="1" applyFont="1" applyFill="1" applyBorder="1" applyProtection="1">
      <protection locked="0"/>
    </xf>
    <xf numFmtId="14" fontId="0" fillId="10" borderId="51" xfId="1" applyNumberFormat="1" applyFont="1" applyFill="1" applyBorder="1" applyProtection="1">
      <protection locked="0"/>
    </xf>
    <xf numFmtId="41" fontId="0" fillId="10" borderId="51" xfId="1" applyFont="1" applyFill="1" applyBorder="1" applyProtection="1">
      <protection locked="0"/>
    </xf>
    <xf numFmtId="41" fontId="0" fillId="10" borderId="51" xfId="1" applyFont="1" applyFill="1" applyBorder="1" applyAlignment="1" applyProtection="1">
      <alignment horizontal="right"/>
      <protection locked="0"/>
    </xf>
    <xf numFmtId="41" fontId="0" fillId="10" borderId="51" xfId="1" quotePrefix="1" applyFont="1" applyFill="1" applyBorder="1" applyAlignment="1" applyProtection="1">
      <alignment horizontal="right"/>
      <protection locked="0"/>
    </xf>
    <xf numFmtId="0" fontId="0" fillId="0" borderId="23" xfId="0" applyBorder="1" applyAlignment="1">
      <alignment horizontal="left"/>
    </xf>
    <xf numFmtId="0" fontId="0" fillId="0" borderId="23" xfId="0" applyBorder="1"/>
    <xf numFmtId="0" fontId="0" fillId="0" borderId="22" xfId="0" quotePrefix="1" applyBorder="1" applyAlignment="1">
      <alignment horizontal="right"/>
    </xf>
    <xf numFmtId="0" fontId="0" fillId="0" borderId="22" xfId="0" applyBorder="1" applyAlignment="1">
      <alignment horizontal="left"/>
    </xf>
    <xf numFmtId="0" fontId="0" fillId="0" borderId="22" xfId="0" applyBorder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8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6" fillId="0" borderId="0" xfId="2"/>
    <xf numFmtId="0" fontId="3" fillId="11" borderId="52" xfId="0" applyFont="1" applyFill="1" applyBorder="1"/>
    <xf numFmtId="0" fontId="0" fillId="11" borderId="55" xfId="0" applyFill="1" applyBorder="1"/>
    <xf numFmtId="0" fontId="0" fillId="11" borderId="53" xfId="0" applyFill="1" applyBorder="1"/>
    <xf numFmtId="0" fontId="0" fillId="11" borderId="54" xfId="0" applyFill="1" applyBorder="1"/>
    <xf numFmtId="0" fontId="0" fillId="11" borderId="56" xfId="0" applyFill="1" applyBorder="1"/>
    <xf numFmtId="0" fontId="0" fillId="11" borderId="57" xfId="0" applyFill="1" applyBorder="1"/>
    <xf numFmtId="0" fontId="0" fillId="0" borderId="0" xfId="0" quotePrefix="1" applyAlignment="1">
      <alignment horizontal="center" vertical="center"/>
    </xf>
    <xf numFmtId="41" fontId="0" fillId="0" borderId="61" xfId="1" applyFont="1" applyBorder="1"/>
    <xf numFmtId="41" fontId="0" fillId="0" borderId="62" xfId="1" applyFont="1" applyBorder="1"/>
    <xf numFmtId="0" fontId="16" fillId="0" borderId="0" xfId="2" applyFont="1" applyAlignment="1" applyProtection="1">
      <alignment vertical="center" wrapText="1"/>
      <protection locked="0"/>
    </xf>
    <xf numFmtId="0" fontId="0" fillId="0" borderId="1" xfId="0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16" fontId="0" fillId="0" borderId="66" xfId="0" applyNumberFormat="1" applyBorder="1" applyAlignment="1">
      <alignment horizontal="right"/>
    </xf>
    <xf numFmtId="0" fontId="0" fillId="0" borderId="67" xfId="0" quotePrefix="1" applyBorder="1" applyAlignment="1">
      <alignment horizontal="right"/>
    </xf>
    <xf numFmtId="0" fontId="0" fillId="0" borderId="68" xfId="0" quotePrefix="1" applyBorder="1" applyAlignment="1">
      <alignment horizontal="right"/>
    </xf>
    <xf numFmtId="0" fontId="0" fillId="0" borderId="69" xfId="0" quotePrefix="1" applyBorder="1" applyAlignment="1">
      <alignment horizontal="right"/>
    </xf>
    <xf numFmtId="16" fontId="0" fillId="0" borderId="68" xfId="0" applyNumberFormat="1" applyBorder="1" applyAlignment="1">
      <alignment horizontal="right"/>
    </xf>
    <xf numFmtId="41" fontId="0" fillId="0" borderId="69" xfId="1" applyFont="1" applyBorder="1" applyProtection="1"/>
    <xf numFmtId="16" fontId="0" fillId="0" borderId="70" xfId="0" quotePrefix="1" applyNumberFormat="1" applyBorder="1" applyAlignment="1">
      <alignment horizontal="right"/>
    </xf>
    <xf numFmtId="0" fontId="0" fillId="0" borderId="71" xfId="0" applyBorder="1" applyAlignment="1">
      <alignment horizontal="left"/>
    </xf>
    <xf numFmtId="0" fontId="0" fillId="0" borderId="71" xfId="0" applyBorder="1"/>
    <xf numFmtId="0" fontId="0" fillId="0" borderId="72" xfId="0" applyBorder="1" applyAlignment="1">
      <alignment horizontal="right"/>
    </xf>
    <xf numFmtId="0" fontId="2" fillId="7" borderId="0" xfId="0" applyFont="1" applyFill="1" applyProtection="1">
      <protection locked="0"/>
    </xf>
    <xf numFmtId="0" fontId="13" fillId="0" borderId="0" xfId="2" applyFont="1" applyAlignment="1">
      <alignment horizontal="left" vertical="center"/>
    </xf>
    <xf numFmtId="0" fontId="0" fillId="0" borderId="25" xfId="0" quotePrefix="1" applyBorder="1" applyAlignment="1" applyProtection="1">
      <alignment horizontal="right" vertical="center"/>
      <protection locked="0"/>
    </xf>
    <xf numFmtId="3" fontId="0" fillId="0" borderId="21" xfId="0" quotePrefix="1" applyNumberFormat="1" applyBorder="1" applyAlignment="1" applyProtection="1">
      <alignment horizontal="right" vertical="center"/>
      <protection locked="0"/>
    </xf>
    <xf numFmtId="0" fontId="8" fillId="0" borderId="62" xfId="0" applyFont="1" applyBorder="1" applyAlignment="1">
      <alignment horizontal="center"/>
    </xf>
    <xf numFmtId="0" fontId="4" fillId="2" borderId="74" xfId="0" applyFont="1" applyFill="1" applyBorder="1" applyAlignment="1" applyProtection="1">
      <alignment horizontal="center"/>
      <protection hidden="1"/>
    </xf>
    <xf numFmtId="0" fontId="8" fillId="0" borderId="75" xfId="0" applyFont="1" applyBorder="1" applyAlignment="1" applyProtection="1">
      <alignment horizontal="center"/>
      <protection locked="0"/>
    </xf>
    <xf numFmtId="0" fontId="19" fillId="2" borderId="38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8" borderId="79" xfId="0" applyFill="1" applyBorder="1" applyAlignment="1">
      <alignment horizontal="center" vertical="center"/>
    </xf>
    <xf numFmtId="0" fontId="0" fillId="0" borderId="85" xfId="0" applyBorder="1"/>
    <xf numFmtId="0" fontId="0" fillId="0" borderId="86" xfId="0" applyBorder="1"/>
    <xf numFmtId="16" fontId="0" fillId="0" borderId="86" xfId="0" applyNumberFormat="1" applyBorder="1" applyAlignment="1">
      <alignment horizontal="left"/>
    </xf>
    <xf numFmtId="41" fontId="0" fillId="0" borderId="86" xfId="1" applyFont="1" applyBorder="1"/>
    <xf numFmtId="41" fontId="0" fillId="0" borderId="86" xfId="0" applyNumberFormat="1" applyBorder="1"/>
    <xf numFmtId="0" fontId="0" fillId="0" borderId="87" xfId="0" applyBorder="1"/>
    <xf numFmtId="41" fontId="31" fillId="0" borderId="0" xfId="1" applyFont="1"/>
    <xf numFmtId="0" fontId="0" fillId="0" borderId="73" xfId="0" applyBorder="1" applyAlignment="1">
      <alignment horizontal="center" vertical="center"/>
    </xf>
    <xf numFmtId="0" fontId="23" fillId="0" borderId="73" xfId="0" applyFont="1" applyBorder="1" applyAlignment="1" applyProtection="1">
      <alignment horizontal="center" vertical="center" wrapText="1"/>
      <protection hidden="1"/>
    </xf>
    <xf numFmtId="41" fontId="23" fillId="0" borderId="73" xfId="1" applyFont="1" applyBorder="1" applyProtection="1">
      <protection hidden="1"/>
    </xf>
    <xf numFmtId="41" fontId="0" fillId="0" borderId="0" xfId="1" applyFont="1" applyProtection="1">
      <protection hidden="1"/>
    </xf>
    <xf numFmtId="41" fontId="0" fillId="0" borderId="0" xfId="1" applyFont="1" applyFill="1" applyBorder="1" applyProtection="1">
      <protection hidden="1"/>
    </xf>
    <xf numFmtId="0" fontId="23" fillId="0" borderId="73" xfId="0" applyFont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" fontId="4" fillId="0" borderId="0" xfId="0" applyNumberFormat="1" applyFont="1" applyAlignment="1" applyProtection="1">
      <alignment vertical="center"/>
      <protection hidden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58" xfId="0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quotePrefix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0" borderId="48" xfId="0" quotePrefix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24" fillId="0" borderId="76" xfId="0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0" fontId="24" fillId="0" borderId="78" xfId="0" applyFont="1" applyBorder="1" applyAlignment="1">
      <alignment horizontal="center" vertical="center" wrapText="1"/>
    </xf>
    <xf numFmtId="0" fontId="9" fillId="0" borderId="75" xfId="0" applyFont="1" applyBorder="1" applyAlignment="1" applyProtection="1">
      <alignment horizontal="center" vertical="center"/>
      <protection locked="0"/>
    </xf>
    <xf numFmtId="0" fontId="0" fillId="0" borderId="74" xfId="0" applyBorder="1" applyAlignment="1" applyProtection="1">
      <alignment horizontal="center" vertical="center" wrapText="1"/>
      <protection hidden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7" fillId="0" borderId="73" xfId="0" applyFont="1" applyBorder="1" applyAlignment="1" applyProtection="1">
      <alignment horizontal="center" vertical="center"/>
      <protection hidden="1"/>
    </xf>
    <xf numFmtId="0" fontId="28" fillId="0" borderId="73" xfId="0" applyFont="1" applyBorder="1" applyAlignment="1" applyProtection="1">
      <alignment horizontal="center" vertical="center"/>
      <protection hidden="1"/>
    </xf>
    <xf numFmtId="0" fontId="18" fillId="9" borderId="0" xfId="0" applyFont="1" applyFill="1" applyAlignment="1" applyProtection="1">
      <alignment horizontal="center"/>
      <protection locked="0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11" xfId="0" applyFill="1" applyBorder="1" applyAlignment="1" applyProtection="1">
      <alignment horizontal="center" vertical="center"/>
      <protection locked="0"/>
    </xf>
    <xf numFmtId="0" fontId="0" fillId="8" borderId="12" xfId="0" applyFill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2" fillId="2" borderId="0" xfId="0" applyFont="1" applyFill="1" applyAlignment="1" applyProtection="1">
      <alignment horizontal="center" wrapText="1"/>
      <protection locked="0"/>
    </xf>
    <xf numFmtId="0" fontId="3" fillId="0" borderId="36" xfId="0" applyFont="1" applyBorder="1" applyAlignment="1" applyProtection="1">
      <alignment horizontal="center" wrapText="1"/>
      <protection locked="0"/>
    </xf>
    <xf numFmtId="41" fontId="0" fillId="0" borderId="88" xfId="1" applyFont="1" applyBorder="1" applyAlignment="1" applyProtection="1">
      <alignment horizontal="left"/>
      <protection hidden="1"/>
    </xf>
    <xf numFmtId="0" fontId="0" fillId="0" borderId="88" xfId="0" applyBorder="1" applyAlignment="1" applyProtection="1">
      <alignment horizontal="center" vertical="center" wrapText="1"/>
      <protection hidden="1"/>
    </xf>
    <xf numFmtId="41" fontId="0" fillId="0" borderId="88" xfId="1" applyFont="1" applyBorder="1" applyAlignment="1" applyProtection="1">
      <alignment horizontal="center" vertical="center"/>
      <protection hidden="1"/>
    </xf>
    <xf numFmtId="41" fontId="17" fillId="0" borderId="0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5" fillId="0" borderId="73" xfId="0" applyFont="1" applyBorder="1" applyAlignment="1">
      <alignment horizontal="center"/>
    </xf>
    <xf numFmtId="0" fontId="3" fillId="0" borderId="73" xfId="0" applyFont="1" applyBorder="1" applyAlignment="1">
      <alignment horizontal="center" vertical="center" wrapText="1"/>
    </xf>
    <xf numFmtId="0" fontId="30" fillId="0" borderId="73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29" fillId="0" borderId="91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29" fillId="0" borderId="93" xfId="0" applyFont="1" applyBorder="1" applyAlignment="1">
      <alignment horizontal="center" vertical="center" wrapText="1"/>
    </xf>
    <xf numFmtId="0" fontId="29" fillId="0" borderId="9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95" xfId="0" applyFont="1" applyBorder="1" applyAlignment="1">
      <alignment horizontal="center" vertical="center" wrapText="1"/>
    </xf>
    <xf numFmtId="0" fontId="29" fillId="0" borderId="96" xfId="0" applyFont="1" applyBorder="1" applyAlignment="1">
      <alignment horizontal="center" vertical="center" wrapText="1"/>
    </xf>
    <xf numFmtId="0" fontId="29" fillId="0" borderId="97" xfId="0" applyFont="1" applyBorder="1" applyAlignment="1">
      <alignment horizontal="center" vertical="center" wrapText="1"/>
    </xf>
    <xf numFmtId="0" fontId="29" fillId="0" borderId="98" xfId="0" applyFont="1" applyBorder="1" applyAlignment="1">
      <alignment horizontal="center" vertical="center" wrapText="1"/>
    </xf>
    <xf numFmtId="0" fontId="0" fillId="0" borderId="91" xfId="0" applyBorder="1" applyAlignment="1" applyProtection="1">
      <alignment horizontal="center" vertical="center"/>
      <protection hidden="1"/>
    </xf>
    <xf numFmtId="0" fontId="0" fillId="0" borderId="92" xfId="0" applyBorder="1" applyAlignment="1" applyProtection="1">
      <alignment horizontal="center" vertical="center"/>
      <protection hidden="1"/>
    </xf>
    <xf numFmtId="0" fontId="0" fillId="0" borderId="93" xfId="0" applyBorder="1" applyAlignment="1" applyProtection="1">
      <alignment horizontal="center" vertical="center"/>
      <protection hidden="1"/>
    </xf>
    <xf numFmtId="0" fontId="0" fillId="0" borderId="94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95" xfId="0" applyBorder="1" applyAlignment="1" applyProtection="1">
      <alignment horizontal="center" vertical="center"/>
      <protection hidden="1"/>
    </xf>
    <xf numFmtId="0" fontId="0" fillId="0" borderId="96" xfId="0" applyBorder="1" applyAlignment="1" applyProtection="1">
      <alignment horizontal="center" vertical="center"/>
      <protection hidden="1"/>
    </xf>
    <xf numFmtId="0" fontId="0" fillId="0" borderId="97" xfId="0" applyBorder="1" applyAlignment="1" applyProtection="1">
      <alignment horizontal="center" vertical="center"/>
      <protection hidden="1"/>
    </xf>
    <xf numFmtId="0" fontId="0" fillId="0" borderId="98" xfId="0" applyBorder="1" applyAlignment="1" applyProtection="1">
      <alignment horizontal="center" vertical="center"/>
      <protection hidden="1"/>
    </xf>
    <xf numFmtId="41" fontId="0" fillId="0" borderId="99" xfId="1" applyFont="1" applyBorder="1" applyAlignment="1" applyProtection="1">
      <alignment horizontal="center" vertical="center"/>
      <protection hidden="1"/>
    </xf>
    <xf numFmtId="41" fontId="0" fillId="0" borderId="100" xfId="1" applyFont="1" applyBorder="1" applyAlignment="1" applyProtection="1">
      <alignment horizontal="center" vertical="center"/>
      <protection hidden="1"/>
    </xf>
    <xf numFmtId="41" fontId="0" fillId="0" borderId="101" xfId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4" fillId="7" borderId="0" xfId="0" applyFont="1" applyFill="1" applyAlignment="1">
      <alignment horizontal="center"/>
    </xf>
    <xf numFmtId="1" fontId="0" fillId="0" borderId="0" xfId="0" applyNumberFormat="1" applyAlignment="1" applyProtection="1">
      <alignment horizontal="center" vertical="center" wrapText="1"/>
      <protection hidden="1"/>
    </xf>
    <xf numFmtId="0" fontId="21" fillId="0" borderId="104" xfId="0" applyFont="1" applyBorder="1" applyAlignment="1">
      <alignment horizontal="center"/>
    </xf>
    <xf numFmtId="0" fontId="21" fillId="0" borderId="105" xfId="0" applyFont="1" applyBorder="1" applyAlignment="1">
      <alignment horizontal="center"/>
    </xf>
    <xf numFmtId="1" fontId="22" fillId="0" borderId="102" xfId="0" applyNumberFormat="1" applyFont="1" applyBorder="1" applyAlignment="1">
      <alignment horizontal="center"/>
    </xf>
    <xf numFmtId="1" fontId="22" fillId="0" borderId="103" xfId="0" applyNumberFormat="1" applyFont="1" applyBorder="1" applyAlignment="1">
      <alignment horizontal="center"/>
    </xf>
    <xf numFmtId="0" fontId="0" fillId="0" borderId="73" xfId="0" applyBorder="1" applyAlignment="1">
      <alignment horizontal="center"/>
    </xf>
    <xf numFmtId="0" fontId="23" fillId="0" borderId="73" xfId="0" applyFont="1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41" fontId="0" fillId="0" borderId="1" xfId="1" applyFont="1" applyFill="1" applyBorder="1" applyAlignment="1" applyProtection="1">
      <alignment horizontal="center"/>
      <protection locked="0"/>
    </xf>
    <xf numFmtId="41" fontId="0" fillId="0" borderId="1" xfId="1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16" fontId="0" fillId="0" borderId="0" xfId="0" applyNumberFormat="1" applyAlignment="1" applyProtection="1">
      <alignment horizontal="left"/>
      <protection locked="0"/>
    </xf>
    <xf numFmtId="0" fontId="0" fillId="0" borderId="18" xfId="0" applyBorder="1" applyProtection="1">
      <protection locked="0"/>
    </xf>
    <xf numFmtId="0" fontId="0" fillId="0" borderId="4" xfId="0" applyBorder="1" applyProtection="1">
      <protection locked="0"/>
    </xf>
    <xf numFmtId="41" fontId="0" fillId="0" borderId="2" xfId="1" applyFont="1" applyBorder="1" applyProtection="1">
      <protection locked="0"/>
    </xf>
    <xf numFmtId="41" fontId="0" fillId="0" borderId="2" xfId="0" applyNumberFormat="1" applyBorder="1" applyProtection="1">
      <protection locked="0"/>
    </xf>
    <xf numFmtId="16" fontId="0" fillId="0" borderId="0" xfId="0" quotePrefix="1" applyNumberFormat="1" applyAlignment="1" applyProtection="1">
      <alignment horizontal="left"/>
      <protection locked="0"/>
    </xf>
    <xf numFmtId="0" fontId="0" fillId="0" borderId="13" xfId="0" applyBorder="1" applyProtection="1">
      <protection locked="0"/>
    </xf>
    <xf numFmtId="41" fontId="0" fillId="0" borderId="19" xfId="1" applyFont="1" applyBorder="1" applyProtection="1">
      <protection locked="0"/>
    </xf>
    <xf numFmtId="41" fontId="0" fillId="0" borderId="0" xfId="1" applyFont="1" applyBorder="1" applyProtection="1">
      <protection locked="0"/>
    </xf>
    <xf numFmtId="41" fontId="0" fillId="0" borderId="0" xfId="0" applyNumberFormat="1" applyProtection="1">
      <protection locked="0"/>
    </xf>
    <xf numFmtId="0" fontId="0" fillId="0" borderId="16" xfId="0" applyBorder="1" applyProtection="1">
      <protection locked="0"/>
    </xf>
    <xf numFmtId="0" fontId="0" fillId="0" borderId="2" xfId="0" applyBorder="1" applyProtection="1">
      <protection locked="0"/>
    </xf>
    <xf numFmtId="41" fontId="0" fillId="0" borderId="3" xfId="1" applyFont="1" applyBorder="1" applyProtection="1">
      <protection locked="0"/>
    </xf>
    <xf numFmtId="41" fontId="0" fillId="0" borderId="3" xfId="0" quotePrefix="1" applyNumberFormat="1" applyBorder="1" applyProtection="1">
      <protection locked="0"/>
    </xf>
    <xf numFmtId="41" fontId="0" fillId="0" borderId="3" xfId="0" applyNumberFormat="1" applyBorder="1" applyProtection="1">
      <protection locked="0"/>
    </xf>
    <xf numFmtId="41" fontId="0" fillId="0" borderId="20" xfId="1" applyFont="1" applyBorder="1" applyProtection="1">
      <protection locked="0"/>
    </xf>
    <xf numFmtId="16" fontId="0" fillId="0" borderId="8" xfId="0" applyNumberFormat="1" applyBorder="1" applyAlignment="1" applyProtection="1">
      <alignment horizontal="left"/>
      <protection locked="0"/>
    </xf>
    <xf numFmtId="16" fontId="0" fillId="0" borderId="19" xfId="0" applyNumberFormat="1" applyBorder="1" applyAlignment="1" applyProtection="1">
      <alignment horizontal="left"/>
      <protection locked="0"/>
    </xf>
    <xf numFmtId="41" fontId="0" fillId="0" borderId="13" xfId="1" applyFont="1" applyBorder="1" applyProtection="1">
      <protection locked="0"/>
    </xf>
    <xf numFmtId="41" fontId="0" fillId="0" borderId="4" xfId="1" applyFont="1" applyBorder="1" applyProtection="1">
      <protection locked="0"/>
    </xf>
    <xf numFmtId="41" fontId="0" fillId="0" borderId="4" xfId="0" applyNumberFormat="1" applyBorder="1" applyProtection="1">
      <protection locked="0"/>
    </xf>
    <xf numFmtId="16" fontId="0" fillId="0" borderId="1" xfId="0" quotePrefix="1" applyNumberFormat="1" applyBorder="1" applyAlignment="1" applyProtection="1">
      <alignment horizontal="left"/>
      <protection locked="0"/>
    </xf>
    <xf numFmtId="41" fontId="0" fillId="0" borderId="1" xfId="0" applyNumberFormat="1" applyBorder="1" applyProtection="1">
      <protection locked="0"/>
    </xf>
    <xf numFmtId="16" fontId="0" fillId="0" borderId="1" xfId="0" applyNumberFormat="1" applyBorder="1" applyAlignment="1" applyProtection="1">
      <alignment horizontal="left"/>
      <protection locked="0"/>
    </xf>
    <xf numFmtId="0" fontId="29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 wrapText="1"/>
      <protection locked="0"/>
    </xf>
    <xf numFmtId="41" fontId="0" fillId="0" borderId="0" xfId="1" applyFont="1" applyProtection="1">
      <protection locked="0"/>
    </xf>
  </cellXfs>
  <cellStyles count="3">
    <cellStyle name="Comma [0]" xfId="1" builtinId="6"/>
    <cellStyle name="Hyperlink" xfId="2" builtinId="8"/>
    <cellStyle name="Normal" xfId="0" builtinId="0"/>
  </cellStyles>
  <dxfs count="19">
    <dxf>
      <fill>
        <patternFill>
          <bgColor theme="2" tint="-0.749961851863155"/>
        </patternFill>
      </fill>
    </dxf>
    <dxf>
      <fill>
        <gradientFill degree="90">
          <stop position="0">
            <color theme="0"/>
          </stop>
          <stop position="0.5">
            <color theme="8" tint="0.59999389629810485"/>
          </stop>
          <stop position="1">
            <color theme="0"/>
          </stop>
        </gradientFill>
      </fill>
    </dxf>
    <dxf>
      <fill>
        <patternFill>
          <bgColor theme="2" tint="-0.74996185186315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ill>
        <patternFill>
          <bgColor theme="2" tint="-0.749961851863155"/>
        </patternFill>
      </fill>
    </dxf>
    <dxf>
      <fill>
        <gradientFill degree="90">
          <stop position="0">
            <color theme="0"/>
          </stop>
          <stop position="0.5">
            <color rgb="FFF6ACDA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99"/>
      <color rgb="FFF6ACDA"/>
      <color rgb="FFF7A7E2"/>
      <color rgb="FFFFA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youtube.com/@ranmaudy?si=1BB99ugT_J5GNH9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5</xdr:row>
      <xdr:rowOff>50801</xdr:rowOff>
    </xdr:from>
    <xdr:ext cx="820867" cy="234950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711F1-0BC2-44D7-BE5B-73C890425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30" b="35555"/>
        <a:stretch>
          <a:fillRect/>
        </a:stretch>
      </xdr:blipFill>
      <xdr:spPr>
        <a:xfrm>
          <a:off x="8718550" y="971551"/>
          <a:ext cx="820867" cy="234950"/>
        </a:xfrm>
        <a:prstGeom prst="rect">
          <a:avLst/>
        </a:prstGeom>
      </xdr:spPr>
    </xdr:pic>
    <xdr:clientData/>
  </xdr:oneCellAnchor>
  <xdr:twoCellAnchor>
    <xdr:from>
      <xdr:col>0</xdr:col>
      <xdr:colOff>133350</xdr:colOff>
      <xdr:row>1</xdr:row>
      <xdr:rowOff>50800</xdr:rowOff>
    </xdr:from>
    <xdr:to>
      <xdr:col>1</xdr:col>
      <xdr:colOff>152400</xdr:colOff>
      <xdr:row>2</xdr:row>
      <xdr:rowOff>114300</xdr:rowOff>
    </xdr:to>
    <xdr:sp macro="" textlink="">
      <xdr:nvSpPr>
        <xdr:cNvPr id="2" name="&quot;Not Allowed&quot; Symbol 1">
          <a:extLst>
            <a:ext uri="{FF2B5EF4-FFF2-40B4-BE49-F238E27FC236}">
              <a16:creationId xmlns:a16="http://schemas.microsoft.com/office/drawing/2014/main" id="{D30260A8-F051-1518-F213-59059A746B90}"/>
            </a:ext>
          </a:extLst>
        </xdr:cNvPr>
        <xdr:cNvSpPr/>
      </xdr:nvSpPr>
      <xdr:spPr>
        <a:xfrm>
          <a:off x="133350" y="234950"/>
          <a:ext cx="266700" cy="247650"/>
        </a:xfrm>
        <a:prstGeom prst="noSmoking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</xdr:row>
      <xdr:rowOff>133821</xdr:rowOff>
    </xdr:from>
    <xdr:to>
      <xdr:col>5</xdr:col>
      <xdr:colOff>188129</xdr:colOff>
      <xdr:row>144</xdr:row>
      <xdr:rowOff>74985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B18D8-E56A-9E18-8549-42536B2F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0168071"/>
          <a:ext cx="5506254" cy="7834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76947</xdr:colOff>
      <xdr:row>34</xdr:row>
      <xdr:rowOff>175559</xdr:rowOff>
    </xdr:from>
    <xdr:to>
      <xdr:col>8</xdr:col>
      <xdr:colOff>486171</xdr:colOff>
      <xdr:row>50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615E98-52AD-E740-D636-BD7C654BB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847" y="6716059"/>
          <a:ext cx="7197374" cy="279624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2886-951C-41F8-9962-7409A4EBFF4C}">
  <dimension ref="B2:K37"/>
  <sheetViews>
    <sheetView showRowColHeaders="0" topLeftCell="A7" zoomScale="90" zoomScaleNormal="90" workbookViewId="0">
      <selection activeCell="G15" sqref="G15"/>
    </sheetView>
  </sheetViews>
  <sheetFormatPr defaultRowHeight="14.5"/>
  <cols>
    <col min="1" max="1" width="3.54296875" customWidth="1"/>
    <col min="2" max="2" width="3.453125" bestFit="1" customWidth="1"/>
    <col min="3" max="3" width="18.81640625" customWidth="1"/>
    <col min="5" max="5" width="10" bestFit="1" customWidth="1"/>
    <col min="6" max="6" width="12" bestFit="1" customWidth="1"/>
    <col min="7" max="7" width="38.81640625" customWidth="1"/>
  </cols>
  <sheetData>
    <row r="2" spans="2:11">
      <c r="C2" s="89" t="s">
        <v>111</v>
      </c>
      <c r="D2" s="91"/>
      <c r="E2" s="91"/>
      <c r="F2" s="91"/>
      <c r="G2" s="91"/>
      <c r="H2" s="91"/>
      <c r="I2" s="91"/>
      <c r="J2" s="92"/>
    </row>
    <row r="3" spans="2:11">
      <c r="C3" s="90" t="s">
        <v>112</v>
      </c>
      <c r="D3" s="93"/>
      <c r="E3" s="93"/>
      <c r="F3" s="93"/>
      <c r="G3" s="93"/>
      <c r="H3" s="93"/>
      <c r="I3" s="93"/>
      <c r="J3" s="94"/>
    </row>
    <row r="6" spans="2:11" ht="23.5">
      <c r="C6" s="151" t="s">
        <v>78</v>
      </c>
      <c r="D6" s="151"/>
      <c r="E6" s="151"/>
      <c r="F6" s="151"/>
    </row>
    <row r="7" spans="2:11" ht="18.5">
      <c r="C7" s="152" t="s">
        <v>89</v>
      </c>
      <c r="D7" s="152"/>
      <c r="E7" s="152"/>
      <c r="F7" s="152"/>
      <c r="G7" s="152"/>
      <c r="H7" s="152"/>
      <c r="I7" s="152"/>
      <c r="J7" s="152"/>
      <c r="K7" s="152"/>
    </row>
    <row r="10" spans="2:11" ht="18.5">
      <c r="C10" s="153" t="s">
        <v>119</v>
      </c>
      <c r="D10" s="154"/>
      <c r="E10" s="154"/>
      <c r="F10" s="155"/>
    </row>
    <row r="11" spans="2:11" ht="18.5">
      <c r="C11" s="55"/>
    </row>
    <row r="12" spans="2:11">
      <c r="C12" s="150" t="s">
        <v>92</v>
      </c>
      <c r="D12" s="150"/>
    </row>
    <row r="13" spans="2:11">
      <c r="C13" t="s">
        <v>75</v>
      </c>
    </row>
    <row r="15" spans="2:11" ht="15" thickBot="1">
      <c r="B15" s="29" t="s">
        <v>0</v>
      </c>
      <c r="C15" s="29" t="s">
        <v>48</v>
      </c>
      <c r="D15" s="29" t="s">
        <v>49</v>
      </c>
      <c r="E15" s="29" t="s">
        <v>29</v>
      </c>
      <c r="F15" s="29" t="s">
        <v>54</v>
      </c>
      <c r="G15" s="30" t="s">
        <v>51</v>
      </c>
    </row>
    <row r="16" spans="2:11" ht="14.5" customHeight="1">
      <c r="B16" s="144">
        <v>1</v>
      </c>
      <c r="C16" s="147" t="s">
        <v>52</v>
      </c>
      <c r="D16" s="25">
        <v>60</v>
      </c>
      <c r="E16" s="26" t="s">
        <v>50</v>
      </c>
      <c r="F16" s="96" t="e">
        <f>D16*E16</f>
        <v>#VALUE!</v>
      </c>
      <c r="G16" s="156" t="s">
        <v>121</v>
      </c>
    </row>
    <row r="17" spans="2:7">
      <c r="B17" s="145"/>
      <c r="C17" s="148"/>
      <c r="D17" s="24" t="s">
        <v>58</v>
      </c>
      <c r="E17" s="28" t="s">
        <v>53</v>
      </c>
      <c r="F17" s="97" t="e">
        <f>D17*E17</f>
        <v>#VALUE!</v>
      </c>
      <c r="G17" s="157"/>
    </row>
    <row r="18" spans="2:7" ht="15" thickBot="1">
      <c r="B18" s="146"/>
      <c r="C18" s="149"/>
      <c r="D18" s="27" t="s">
        <v>57</v>
      </c>
      <c r="E18" s="31">
        <v>7000000</v>
      </c>
      <c r="F18" s="97" t="e">
        <f>D18*E18</f>
        <v>#VALUE!</v>
      </c>
      <c r="G18" s="158"/>
    </row>
    <row r="19" spans="2:7" ht="14.5" customHeight="1">
      <c r="B19" s="144">
        <v>2</v>
      </c>
      <c r="C19" s="147" t="s">
        <v>55</v>
      </c>
      <c r="D19" s="147">
        <v>100</v>
      </c>
      <c r="E19" s="161" t="s">
        <v>56</v>
      </c>
      <c r="F19" s="147">
        <f>SUM(D19:E19)</f>
        <v>100</v>
      </c>
      <c r="G19" s="159" t="s">
        <v>84</v>
      </c>
    </row>
    <row r="20" spans="2:7">
      <c r="B20" s="145"/>
      <c r="C20" s="148"/>
      <c r="D20" s="148"/>
      <c r="E20" s="162"/>
      <c r="F20" s="148"/>
      <c r="G20" s="159"/>
    </row>
    <row r="21" spans="2:7">
      <c r="B21" s="145"/>
      <c r="C21" s="148"/>
      <c r="D21" s="148"/>
      <c r="E21" s="162"/>
      <c r="F21" s="148"/>
      <c r="G21" s="159"/>
    </row>
    <row r="22" spans="2:7" ht="15" thickBot="1">
      <c r="B22" s="146"/>
      <c r="C22" s="149"/>
      <c r="D22" s="149"/>
      <c r="E22" s="163"/>
      <c r="F22" s="149"/>
      <c r="G22" s="160"/>
    </row>
    <row r="23" spans="2:7">
      <c r="B23" s="10"/>
      <c r="C23" t="s">
        <v>120</v>
      </c>
      <c r="D23" s="10"/>
      <c r="E23" s="95"/>
      <c r="F23" s="10"/>
      <c r="G23" s="35"/>
    </row>
    <row r="24" spans="2:7">
      <c r="B24" s="10"/>
      <c r="C24" s="10"/>
      <c r="D24" s="10"/>
      <c r="E24" s="95"/>
      <c r="F24" s="10"/>
      <c r="G24" s="35"/>
    </row>
    <row r="26" spans="2:7">
      <c r="C26" s="150" t="s">
        <v>90</v>
      </c>
      <c r="D26" s="150"/>
    </row>
    <row r="27" spans="2:7">
      <c r="C27" s="1" t="s">
        <v>91</v>
      </c>
    </row>
    <row r="28" spans="2:7">
      <c r="C28" s="1" t="s">
        <v>124</v>
      </c>
    </row>
    <row r="30" spans="2:7">
      <c r="C30" s="150" t="s">
        <v>122</v>
      </c>
      <c r="D30" s="150"/>
    </row>
    <row r="31" spans="2:7">
      <c r="C31" s="1" t="s">
        <v>123</v>
      </c>
    </row>
    <row r="36" spans="3:3">
      <c r="C36" s="1" t="s">
        <v>118</v>
      </c>
    </row>
    <row r="37" spans="3:3">
      <c r="C37" s="88" t="s">
        <v>110</v>
      </c>
    </row>
  </sheetData>
  <sheetProtection algorithmName="SHA-512" hashValue="L4YOWqXO/b/7YHYcN8uHz4rsnUYNtkAUEOC9YH5CiVaHCVW8uloAJA1cNIYvX3lisRWqSYJeSQnqrT5xPr4KpQ==" saltValue="MV6n++BH8sCDE7tEvuDJtQ==" spinCount="100000" sheet="1" objects="1" scenarios="1"/>
  <mergeCells count="15">
    <mergeCell ref="B19:B22"/>
    <mergeCell ref="B16:B18"/>
    <mergeCell ref="C16:C18"/>
    <mergeCell ref="C30:D30"/>
    <mergeCell ref="C6:F6"/>
    <mergeCell ref="C7:K7"/>
    <mergeCell ref="C10:F10"/>
    <mergeCell ref="C12:D12"/>
    <mergeCell ref="G16:G18"/>
    <mergeCell ref="G19:G22"/>
    <mergeCell ref="F19:F22"/>
    <mergeCell ref="E19:E22"/>
    <mergeCell ref="D19:D22"/>
    <mergeCell ref="C26:D26"/>
    <mergeCell ref="C19:C22"/>
  </mergeCells>
  <hyperlinks>
    <hyperlink ref="C37" location="'LEVEL 1'!A1" display="AYO KERJAKAN LATIHANNYA ~" xr:uid="{B48F756A-DD8C-43C0-8FC6-255E0EAAA1F1}"/>
  </hyperlinks>
  <pageMargins left="0.7" right="0.7" top="0.75" bottom="0.75" header="0.3" footer="0.3"/>
  <ignoredErrors>
    <ignoredError sqref="E1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21A8-C8CF-4DF7-9B1D-EB7A65B104D8}">
  <dimension ref="A1:K147"/>
  <sheetViews>
    <sheetView zoomScaleNormal="100" workbookViewId="0">
      <selection activeCell="I12" sqref="I12:I26"/>
    </sheetView>
  </sheetViews>
  <sheetFormatPr defaultRowHeight="14.5"/>
  <cols>
    <col min="1" max="3" width="15.26953125" customWidth="1"/>
    <col min="4" max="5" width="15.26953125" style="4" customWidth="1"/>
    <col min="6" max="6" width="18" customWidth="1"/>
    <col min="8" max="8" width="34.6328125" customWidth="1"/>
    <col min="9" max="9" width="18.36328125" customWidth="1"/>
    <col min="10" max="10" width="25.36328125" customWidth="1"/>
  </cols>
  <sheetData>
    <row r="1" spans="1:11" ht="25" customHeight="1" thickBot="1">
      <c r="A1" s="172" t="s">
        <v>132</v>
      </c>
      <c r="B1" s="172"/>
      <c r="C1" s="172"/>
      <c r="D1" s="172"/>
      <c r="E1" s="173"/>
      <c r="F1" s="124" t="s">
        <v>142</v>
      </c>
    </row>
    <row r="2" spans="1:11" ht="21.5" thickBot="1">
      <c r="A2" s="174" t="s">
        <v>134</v>
      </c>
      <c r="B2" s="174"/>
      <c r="C2" s="174"/>
      <c r="D2" s="174"/>
      <c r="E2" s="175"/>
      <c r="F2" s="134" t="str">
        <f>I30</f>
        <v>⏳ BELUM DISELESAIKAN</v>
      </c>
      <c r="H2" s="121" t="s">
        <v>71</v>
      </c>
    </row>
    <row r="3" spans="1:11">
      <c r="H3" s="122" t="s">
        <v>135</v>
      </c>
    </row>
    <row r="4" spans="1:11" s="10" customFormat="1" ht="30" customHeight="1">
      <c r="A4" s="99" t="s">
        <v>28</v>
      </c>
      <c r="B4" s="99" t="s">
        <v>48</v>
      </c>
      <c r="C4" s="99" t="s">
        <v>59</v>
      </c>
      <c r="D4" s="100" t="s">
        <v>60</v>
      </c>
      <c r="E4" s="100" t="s">
        <v>61</v>
      </c>
      <c r="H4" s="123" t="s">
        <v>141</v>
      </c>
    </row>
    <row r="5" spans="1:11">
      <c r="A5" s="32">
        <v>45324</v>
      </c>
      <c r="B5" s="2" t="s">
        <v>62</v>
      </c>
      <c r="C5" s="2">
        <v>4</v>
      </c>
      <c r="D5" s="3">
        <v>1801588</v>
      </c>
      <c r="E5" s="3">
        <v>2062174</v>
      </c>
      <c r="H5" s="125" t="s">
        <v>72</v>
      </c>
      <c r="I5" s="10"/>
      <c r="J5" s="10"/>
      <c r="K5" s="10"/>
    </row>
    <row r="6" spans="1:11">
      <c r="A6" s="32">
        <v>45325</v>
      </c>
      <c r="B6" s="2" t="s">
        <v>63</v>
      </c>
      <c r="C6" s="2">
        <v>8</v>
      </c>
      <c r="D6" s="3">
        <v>1528549</v>
      </c>
      <c r="E6" s="3">
        <v>1806131</v>
      </c>
      <c r="H6" s="170" t="s">
        <v>73</v>
      </c>
      <c r="J6" s="10"/>
      <c r="K6" s="10"/>
    </row>
    <row r="7" spans="1:11" ht="15" thickBot="1">
      <c r="A7" s="32">
        <v>45326</v>
      </c>
      <c r="B7" s="2" t="s">
        <v>64</v>
      </c>
      <c r="C7" s="2">
        <v>4</v>
      </c>
      <c r="D7" s="3">
        <v>3121896</v>
      </c>
      <c r="E7" s="3">
        <v>3245984</v>
      </c>
      <c r="H7" s="171"/>
      <c r="J7" s="10"/>
      <c r="K7" s="10"/>
    </row>
    <row r="8" spans="1:11">
      <c r="A8" s="32">
        <v>45327</v>
      </c>
      <c r="B8" s="2" t="s">
        <v>65</v>
      </c>
      <c r="C8" s="2">
        <v>10</v>
      </c>
      <c r="D8" s="3">
        <v>2516689</v>
      </c>
      <c r="E8" s="3">
        <v>2683511</v>
      </c>
      <c r="J8" s="10"/>
      <c r="K8" s="10"/>
    </row>
    <row r="9" spans="1:11">
      <c r="A9" s="32">
        <v>45328</v>
      </c>
      <c r="B9" s="2" t="s">
        <v>66</v>
      </c>
      <c r="C9" s="2">
        <v>3</v>
      </c>
      <c r="D9" s="3">
        <v>3089089</v>
      </c>
      <c r="E9" s="3">
        <v>3181971</v>
      </c>
      <c r="J9" s="10"/>
      <c r="K9" s="10"/>
    </row>
    <row r="10" spans="1:11" ht="15" thickBot="1">
      <c r="A10" s="32">
        <v>45329</v>
      </c>
      <c r="B10" s="33" t="s">
        <v>67</v>
      </c>
      <c r="C10" s="33">
        <v>9</v>
      </c>
      <c r="D10" s="34">
        <v>4838868</v>
      </c>
      <c r="E10" s="34">
        <v>5064930</v>
      </c>
      <c r="H10" s="35"/>
      <c r="I10" s="10"/>
    </row>
    <row r="11" spans="1:11" ht="16.5" thickTop="1" thickBot="1">
      <c r="A11" s="32">
        <v>45330</v>
      </c>
      <c r="B11" s="33" t="s">
        <v>67</v>
      </c>
      <c r="C11" s="33">
        <v>9</v>
      </c>
      <c r="D11" s="34">
        <v>3775256</v>
      </c>
      <c r="E11" s="34">
        <v>3965317</v>
      </c>
      <c r="G11" s="36" t="s">
        <v>0</v>
      </c>
      <c r="H11" s="118" t="s">
        <v>45</v>
      </c>
      <c r="I11" s="120" t="s">
        <v>70</v>
      </c>
      <c r="J11" s="119" t="s">
        <v>74</v>
      </c>
    </row>
    <row r="12" spans="1:11" ht="15.5" customHeight="1" thickTop="1" thickBot="1">
      <c r="A12" s="32">
        <v>45332</v>
      </c>
      <c r="B12" s="33" t="s">
        <v>67</v>
      </c>
      <c r="C12" s="33">
        <v>8</v>
      </c>
      <c r="D12" s="34">
        <v>271159</v>
      </c>
      <c r="E12" s="34">
        <v>554177</v>
      </c>
      <c r="G12" s="164">
        <v>1</v>
      </c>
      <c r="H12" s="165" t="s">
        <v>136</v>
      </c>
      <c r="I12" s="168"/>
      <c r="J12" s="169" t="str">
        <f>IF(I12="","Isi Jawabannya di Cell I12",IF(I12="B10:E12","YUP BENARR","COBA LAGI,JANGAN LUPA FORMAT NYA SESUAI ATURAN DIATAS YA"))</f>
        <v>Isi Jawabannya di Cell I12</v>
      </c>
    </row>
    <row r="13" spans="1:11" ht="15.5" thickTop="1" thickBot="1">
      <c r="A13" s="32">
        <v>45333</v>
      </c>
      <c r="B13" s="2" t="s">
        <v>64</v>
      </c>
      <c r="C13" s="2">
        <v>10</v>
      </c>
      <c r="D13" s="3">
        <v>3628677</v>
      </c>
      <c r="E13" s="3">
        <v>3925359</v>
      </c>
      <c r="G13" s="164"/>
      <c r="H13" s="166"/>
      <c r="I13" s="168"/>
      <c r="J13" s="169"/>
    </row>
    <row r="14" spans="1:11" ht="15.5" thickTop="1" thickBot="1">
      <c r="A14" s="32">
        <v>45334</v>
      </c>
      <c r="B14" s="2" t="s">
        <v>68</v>
      </c>
      <c r="C14" s="2">
        <v>9</v>
      </c>
      <c r="D14" s="3">
        <v>562702</v>
      </c>
      <c r="E14" s="3">
        <v>779503</v>
      </c>
      <c r="G14" s="164"/>
      <c r="H14" s="167"/>
      <c r="I14" s="168"/>
      <c r="J14" s="169"/>
    </row>
    <row r="15" spans="1:11" ht="15.5" customHeight="1" thickTop="1" thickBot="1">
      <c r="A15" s="32">
        <v>45335</v>
      </c>
      <c r="B15" s="2" t="s">
        <v>66</v>
      </c>
      <c r="C15" s="2">
        <v>1</v>
      </c>
      <c r="D15" s="3">
        <v>163408</v>
      </c>
      <c r="E15" s="3">
        <v>429563</v>
      </c>
      <c r="G15" s="164">
        <v>2</v>
      </c>
      <c r="H15" s="165" t="s">
        <v>137</v>
      </c>
      <c r="I15" s="168"/>
      <c r="J15" s="169" t="str">
        <f>IF(I15="","Isi Jawabannya di Cell I15",IF(I15="A39:E47","YUP BENARR","COBA LAGI,JANGAN LUPA FORMAT NYA SESUAI ATURAN DIATAS YA"))</f>
        <v>Isi Jawabannya di Cell I15</v>
      </c>
    </row>
    <row r="16" spans="1:11" ht="14.5" customHeight="1" thickTop="1" thickBot="1">
      <c r="A16" s="32">
        <v>45336</v>
      </c>
      <c r="B16" s="2" t="s">
        <v>67</v>
      </c>
      <c r="C16" s="2">
        <v>8</v>
      </c>
      <c r="D16" s="3">
        <v>1347124</v>
      </c>
      <c r="E16" s="3">
        <v>1573794</v>
      </c>
      <c r="G16" s="164"/>
      <c r="H16" s="166"/>
      <c r="I16" s="168"/>
      <c r="J16" s="169"/>
    </row>
    <row r="17" spans="1:10" ht="15.5" thickTop="1" thickBot="1">
      <c r="A17" s="32">
        <v>45337</v>
      </c>
      <c r="B17" s="2" t="s">
        <v>65</v>
      </c>
      <c r="C17" s="2">
        <v>9</v>
      </c>
      <c r="D17" s="3">
        <v>1685577</v>
      </c>
      <c r="E17" s="3">
        <v>1758420</v>
      </c>
      <c r="G17" s="164"/>
      <c r="H17" s="167"/>
      <c r="I17" s="168"/>
      <c r="J17" s="169"/>
    </row>
    <row r="18" spans="1:10" ht="15.5" customHeight="1" thickTop="1" thickBot="1">
      <c r="A18" s="32">
        <v>45338</v>
      </c>
      <c r="B18" s="40" t="s">
        <v>63</v>
      </c>
      <c r="C18" s="40">
        <v>10</v>
      </c>
      <c r="D18" s="3">
        <v>2662406</v>
      </c>
      <c r="E18" s="3">
        <v>2941895</v>
      </c>
      <c r="G18" s="164">
        <v>3</v>
      </c>
      <c r="H18" s="165" t="s">
        <v>138</v>
      </c>
      <c r="I18" s="168"/>
      <c r="J18" s="169" t="str">
        <f>IF(I18="","Isi Jawabannya di Cell I18",IF(I18="B18:C27","YUP BENARR","COBA LAGI,JANGAN LUPA FORMAT NYA SESUAI ATURAN DIATAS YA"))</f>
        <v>Isi Jawabannya di Cell I18</v>
      </c>
    </row>
    <row r="19" spans="1:10" ht="14.5" customHeight="1" thickTop="1" thickBot="1">
      <c r="A19" s="32">
        <v>45339</v>
      </c>
      <c r="B19" s="40" t="s">
        <v>63</v>
      </c>
      <c r="C19" s="40">
        <v>1</v>
      </c>
      <c r="D19" s="3">
        <v>4515957</v>
      </c>
      <c r="E19" s="3">
        <v>4763818</v>
      </c>
      <c r="G19" s="164"/>
      <c r="H19" s="166"/>
      <c r="I19" s="168"/>
      <c r="J19" s="169"/>
    </row>
    <row r="20" spans="1:10" ht="15.5" thickTop="1" thickBot="1">
      <c r="A20" s="32">
        <v>45341</v>
      </c>
      <c r="B20" s="40" t="s">
        <v>67</v>
      </c>
      <c r="C20" s="40">
        <v>10</v>
      </c>
      <c r="D20" s="3">
        <v>4828258</v>
      </c>
      <c r="E20" s="3">
        <v>4940336</v>
      </c>
      <c r="G20" s="164"/>
      <c r="H20" s="167"/>
      <c r="I20" s="168"/>
      <c r="J20" s="169"/>
    </row>
    <row r="21" spans="1:10" ht="15.5" customHeight="1" thickTop="1" thickBot="1">
      <c r="A21" s="32">
        <v>45342</v>
      </c>
      <c r="B21" s="40" t="s">
        <v>66</v>
      </c>
      <c r="C21" s="40">
        <v>4</v>
      </c>
      <c r="D21" s="3">
        <v>4175659</v>
      </c>
      <c r="E21" s="3">
        <v>4273531</v>
      </c>
      <c r="G21" s="164">
        <v>4</v>
      </c>
      <c r="H21" s="165" t="s">
        <v>139</v>
      </c>
      <c r="I21" s="168"/>
      <c r="J21" s="169" t="str">
        <f>IF(I21="","Isi Jawabannya di Cell I21",IF(I21="A30:A36","YUP BENARR","COBA LAGI,JANGAN LUPA FORMAT NYA SESUAI ATURAN DIATAS YA"))</f>
        <v>Isi Jawabannya di Cell I21</v>
      </c>
    </row>
    <row r="22" spans="1:10" ht="15.5" thickTop="1" thickBot="1">
      <c r="A22" s="32">
        <v>45343</v>
      </c>
      <c r="B22" s="40" t="s">
        <v>66</v>
      </c>
      <c r="C22" s="40">
        <v>4</v>
      </c>
      <c r="D22" s="3">
        <v>2558578</v>
      </c>
      <c r="E22" s="3">
        <v>2802968</v>
      </c>
      <c r="G22" s="164"/>
      <c r="H22" s="166"/>
      <c r="I22" s="168"/>
      <c r="J22" s="169"/>
    </row>
    <row r="23" spans="1:10" ht="14.5" customHeight="1" thickTop="1" thickBot="1">
      <c r="A23" s="32">
        <v>45344</v>
      </c>
      <c r="B23" s="40" t="s">
        <v>68</v>
      </c>
      <c r="C23" s="40">
        <v>3</v>
      </c>
      <c r="D23" s="3">
        <v>2751390</v>
      </c>
      <c r="E23" s="3">
        <v>2906270</v>
      </c>
      <c r="G23" s="164"/>
      <c r="H23" s="167"/>
      <c r="I23" s="168"/>
      <c r="J23" s="169"/>
    </row>
    <row r="24" spans="1:10" ht="14.5" customHeight="1" thickTop="1" thickBot="1">
      <c r="A24" s="32">
        <v>45345</v>
      </c>
      <c r="B24" s="40" t="s">
        <v>62</v>
      </c>
      <c r="C24" s="40">
        <v>7</v>
      </c>
      <c r="D24" s="3">
        <v>4255436</v>
      </c>
      <c r="E24" s="3">
        <v>4533164</v>
      </c>
      <c r="G24" s="164">
        <v>5</v>
      </c>
      <c r="H24" s="165" t="s">
        <v>140</v>
      </c>
      <c r="I24" s="168"/>
      <c r="J24" s="169" t="str">
        <f>IF(I24="","Isi Jawabannya di kolom I24",IF(I24="b30:b33","YEAY KALAU SDH BENARR SEMUA,SEKARANG KAMU BISA KE LEVEL 2","COBA LAGI,JANGAN LUPA FORMAT NYA SESUAI ATURAN DIATAS YA"))</f>
        <v>Isi Jawabannya di kolom I24</v>
      </c>
    </row>
    <row r="25" spans="1:10" ht="14.5" customHeight="1" thickTop="1" thickBot="1">
      <c r="A25" s="32">
        <v>45346</v>
      </c>
      <c r="B25" s="40" t="s">
        <v>62</v>
      </c>
      <c r="C25" s="40">
        <v>1</v>
      </c>
      <c r="D25" s="3">
        <v>1096130</v>
      </c>
      <c r="E25" s="3">
        <v>1204112</v>
      </c>
      <c r="G25" s="164"/>
      <c r="H25" s="166"/>
      <c r="I25" s="168"/>
      <c r="J25" s="169"/>
    </row>
    <row r="26" spans="1:10" ht="14.5" customHeight="1" thickTop="1" thickBot="1">
      <c r="A26" s="32">
        <v>45347</v>
      </c>
      <c r="B26" s="40" t="s">
        <v>69</v>
      </c>
      <c r="C26" s="40">
        <v>10</v>
      </c>
      <c r="D26" s="3">
        <v>1358643</v>
      </c>
      <c r="E26" s="3">
        <v>1447278</v>
      </c>
      <c r="G26" s="164"/>
      <c r="H26" s="167"/>
      <c r="I26" s="168"/>
      <c r="J26" s="169"/>
    </row>
    <row r="27" spans="1:10" ht="14.5" customHeight="1" thickTop="1">
      <c r="A27" s="32">
        <v>45348</v>
      </c>
      <c r="B27" s="40" t="s">
        <v>62</v>
      </c>
      <c r="C27" s="40">
        <v>8</v>
      </c>
      <c r="D27" s="3">
        <v>217026</v>
      </c>
      <c r="E27" s="3">
        <v>458583</v>
      </c>
    </row>
    <row r="28" spans="1:10" ht="14.5" customHeight="1">
      <c r="A28" s="32">
        <v>45350</v>
      </c>
      <c r="B28" s="2" t="s">
        <v>65</v>
      </c>
      <c r="C28" s="2">
        <v>1</v>
      </c>
      <c r="D28" s="3">
        <v>3568292</v>
      </c>
      <c r="E28" s="3">
        <v>3760806</v>
      </c>
    </row>
    <row r="29" spans="1:10" ht="15" thickBot="1">
      <c r="A29" s="32">
        <v>45351</v>
      </c>
      <c r="B29" s="2" t="s">
        <v>64</v>
      </c>
      <c r="C29" s="2">
        <v>6</v>
      </c>
      <c r="D29" s="3">
        <v>131220</v>
      </c>
      <c r="E29" s="3">
        <v>184444</v>
      </c>
    </row>
    <row r="30" spans="1:10" ht="15" thickBot="1">
      <c r="A30" s="41">
        <v>45352</v>
      </c>
      <c r="B30" s="2" t="s">
        <v>17</v>
      </c>
      <c r="C30" s="2">
        <v>3</v>
      </c>
      <c r="D30" s="3">
        <v>2196487</v>
      </c>
      <c r="E30" s="3">
        <v>2472211</v>
      </c>
      <c r="H30" s="177" t="s">
        <v>143</v>
      </c>
      <c r="I30" s="176" t="str">
        <f>IF(COUNTIF(J12:J26,"*BENARR*")=COUNTA(J12:J26),"SELESAI ","⏳ BELUM DISELESAIKAN")</f>
        <v>⏳ BELUM DISELESAIKAN</v>
      </c>
      <c r="J30" s="176"/>
    </row>
    <row r="31" spans="1:10" ht="15" thickBot="1">
      <c r="A31" s="41">
        <v>45353</v>
      </c>
      <c r="B31" s="2" t="s">
        <v>17</v>
      </c>
      <c r="C31" s="2">
        <v>5</v>
      </c>
      <c r="D31" s="3">
        <v>1797896</v>
      </c>
      <c r="E31" s="3">
        <v>2019020</v>
      </c>
      <c r="H31" s="177"/>
      <c r="I31" s="176"/>
      <c r="J31" s="176"/>
    </row>
    <row r="32" spans="1:10">
      <c r="A32" s="41">
        <v>45354</v>
      </c>
      <c r="B32" s="2" t="s">
        <v>17</v>
      </c>
      <c r="C32" s="2">
        <v>2</v>
      </c>
      <c r="D32" s="3">
        <v>353407</v>
      </c>
      <c r="E32" s="3">
        <v>405995</v>
      </c>
    </row>
    <row r="33" spans="1:8">
      <c r="A33" s="41">
        <v>45355</v>
      </c>
      <c r="B33" s="2" t="s">
        <v>17</v>
      </c>
      <c r="C33" s="2">
        <v>9</v>
      </c>
      <c r="D33" s="3">
        <v>4636653</v>
      </c>
      <c r="E33" s="3">
        <v>4833916</v>
      </c>
    </row>
    <row r="34" spans="1:8">
      <c r="A34" s="41">
        <v>45356</v>
      </c>
      <c r="B34" s="2" t="s">
        <v>66</v>
      </c>
      <c r="C34" s="2">
        <v>9</v>
      </c>
      <c r="D34" s="3">
        <v>1639820</v>
      </c>
      <c r="E34" s="3">
        <v>1874326</v>
      </c>
    </row>
    <row r="35" spans="1:8">
      <c r="A35" s="41">
        <v>45358</v>
      </c>
      <c r="B35" s="2" t="s">
        <v>64</v>
      </c>
      <c r="C35" s="2">
        <v>4</v>
      </c>
      <c r="D35" s="3">
        <v>2871355</v>
      </c>
      <c r="E35" s="3">
        <v>3057456</v>
      </c>
    </row>
    <row r="36" spans="1:8">
      <c r="A36" s="41">
        <v>45359</v>
      </c>
      <c r="B36" s="2" t="s">
        <v>68</v>
      </c>
      <c r="C36" s="2">
        <v>8</v>
      </c>
      <c r="D36" s="3">
        <v>3950424</v>
      </c>
      <c r="E36" s="3">
        <v>4098219</v>
      </c>
    </row>
    <row r="37" spans="1:8">
      <c r="A37" s="32">
        <v>45360</v>
      </c>
      <c r="B37" s="2" t="s">
        <v>64</v>
      </c>
      <c r="C37" s="2">
        <v>7</v>
      </c>
      <c r="D37" s="3">
        <v>3365445</v>
      </c>
      <c r="E37" s="3">
        <v>3553946</v>
      </c>
    </row>
    <row r="38" spans="1:8">
      <c r="A38" s="32">
        <v>45361</v>
      </c>
      <c r="B38" s="2" t="s">
        <v>67</v>
      </c>
      <c r="C38" s="2">
        <v>7</v>
      </c>
      <c r="D38" s="3">
        <v>341935</v>
      </c>
      <c r="E38" s="3">
        <v>590883</v>
      </c>
    </row>
    <row r="39" spans="1:8">
      <c r="A39" s="37">
        <v>45362</v>
      </c>
      <c r="B39" s="38" t="s">
        <v>69</v>
      </c>
      <c r="C39" s="38">
        <v>7</v>
      </c>
      <c r="D39" s="39">
        <v>2959678</v>
      </c>
      <c r="E39" s="39">
        <v>3050034</v>
      </c>
    </row>
    <row r="40" spans="1:8">
      <c r="A40" s="37">
        <v>45363</v>
      </c>
      <c r="B40" s="38" t="s">
        <v>62</v>
      </c>
      <c r="C40" s="38">
        <v>3</v>
      </c>
      <c r="D40" s="39">
        <v>2781935</v>
      </c>
      <c r="E40" s="39">
        <v>2893513</v>
      </c>
    </row>
    <row r="41" spans="1:8">
      <c r="A41" s="37">
        <v>45365</v>
      </c>
      <c r="B41" s="38" t="s">
        <v>67</v>
      </c>
      <c r="C41" s="38">
        <v>3</v>
      </c>
      <c r="D41" s="39">
        <v>1808317</v>
      </c>
      <c r="E41" s="39">
        <v>2098321</v>
      </c>
    </row>
    <row r="42" spans="1:8">
      <c r="A42" s="37">
        <v>45366</v>
      </c>
      <c r="B42" s="38" t="s">
        <v>65</v>
      </c>
      <c r="C42" s="38">
        <v>10</v>
      </c>
      <c r="D42" s="39">
        <v>4200117</v>
      </c>
      <c r="E42" s="39">
        <v>4467611</v>
      </c>
    </row>
    <row r="43" spans="1:8">
      <c r="A43" s="37">
        <v>45367</v>
      </c>
      <c r="B43" s="38" t="s">
        <v>65</v>
      </c>
      <c r="C43" s="38">
        <v>10</v>
      </c>
      <c r="D43" s="39">
        <v>120356</v>
      </c>
      <c r="E43" s="39">
        <v>256794</v>
      </c>
    </row>
    <row r="44" spans="1:8">
      <c r="A44" s="37">
        <v>45369</v>
      </c>
      <c r="B44" s="38" t="s">
        <v>62</v>
      </c>
      <c r="C44" s="38">
        <v>10</v>
      </c>
      <c r="D44" s="39">
        <v>2754223</v>
      </c>
      <c r="E44" s="39">
        <v>2880170</v>
      </c>
    </row>
    <row r="45" spans="1:8" ht="15.5">
      <c r="A45" s="37">
        <v>45370</v>
      </c>
      <c r="B45" s="38" t="s">
        <v>64</v>
      </c>
      <c r="C45" s="38">
        <v>1</v>
      </c>
      <c r="D45" s="39">
        <v>175527</v>
      </c>
      <c r="E45" s="39">
        <v>305647</v>
      </c>
      <c r="H45" s="58"/>
    </row>
    <row r="46" spans="1:8">
      <c r="A46" s="37">
        <v>45372</v>
      </c>
      <c r="B46" s="38" t="s">
        <v>66</v>
      </c>
      <c r="C46" s="38">
        <v>4</v>
      </c>
      <c r="D46" s="39">
        <v>3145519</v>
      </c>
      <c r="E46" s="39">
        <v>3270610</v>
      </c>
    </row>
    <row r="47" spans="1:8">
      <c r="A47" s="37">
        <v>45373</v>
      </c>
      <c r="B47" s="38" t="s">
        <v>62</v>
      </c>
      <c r="C47" s="38">
        <v>1</v>
      </c>
      <c r="D47" s="39">
        <v>1564996</v>
      </c>
      <c r="E47" s="39">
        <v>1699644</v>
      </c>
    </row>
    <row r="51" spans="3:3">
      <c r="C51" s="60" t="s">
        <v>93</v>
      </c>
    </row>
    <row r="52" spans="3:3">
      <c r="C52" s="59" t="s">
        <v>85</v>
      </c>
    </row>
    <row r="53" spans="3:3" ht="23.5">
      <c r="C53" s="42" t="s">
        <v>26</v>
      </c>
    </row>
    <row r="103" spans="1:7">
      <c r="A103" s="1" t="s">
        <v>127</v>
      </c>
    </row>
    <row r="105" spans="1:7">
      <c r="G105" t="s">
        <v>76</v>
      </c>
    </row>
    <row r="106" spans="1:7" ht="21">
      <c r="G106" s="43" t="s">
        <v>77</v>
      </c>
    </row>
    <row r="147" spans="1:1">
      <c r="A147" t="s">
        <v>109</v>
      </c>
    </row>
  </sheetData>
  <sheetProtection algorithmName="SHA-512" hashValue="CzLz13K2HgZxxYK8kW0HBatvLmY5jluq+TWxihi/+gvfX0Wktcg8mjnUrGnmqI623yQcvEo5oS38CxfaTGDN1A==" saltValue="/qS97gJTLSoLRz4y88zkRw==" spinCount="100000" sheet="1" objects="1" scenarios="1"/>
  <mergeCells count="25">
    <mergeCell ref="I30:J31"/>
    <mergeCell ref="H30:H31"/>
    <mergeCell ref="G21:G23"/>
    <mergeCell ref="H21:H23"/>
    <mergeCell ref="I21:I23"/>
    <mergeCell ref="J21:J23"/>
    <mergeCell ref="G24:G26"/>
    <mergeCell ref="H24:H26"/>
    <mergeCell ref="I24:I26"/>
    <mergeCell ref="J24:J26"/>
    <mergeCell ref="J18:J20"/>
    <mergeCell ref="H12:H14"/>
    <mergeCell ref="H6:H7"/>
    <mergeCell ref="I12:I14"/>
    <mergeCell ref="A1:E1"/>
    <mergeCell ref="A2:E2"/>
    <mergeCell ref="G18:G20"/>
    <mergeCell ref="H18:H20"/>
    <mergeCell ref="I18:I20"/>
    <mergeCell ref="J12:J14"/>
    <mergeCell ref="G12:G14"/>
    <mergeCell ref="G15:G17"/>
    <mergeCell ref="H15:H17"/>
    <mergeCell ref="I15:I17"/>
    <mergeCell ref="J15:J17"/>
  </mergeCells>
  <conditionalFormatting sqref="F1:F2">
    <cfRule type="containsText" dxfId="18" priority="3" operator="containsText" text="SELESAI">
      <formula>NOT(ISERROR(SEARCH("SELESAI",F1)))</formula>
    </cfRule>
  </conditionalFormatting>
  <conditionalFormatting sqref="F2">
    <cfRule type="containsText" dxfId="17" priority="1" operator="containsText" text="BELUM">
      <formula>NOT(ISERROR(SEARCH("BELUM",F2)))</formula>
    </cfRule>
  </conditionalFormatting>
  <conditionalFormatting sqref="I30:J31">
    <cfRule type="containsText" dxfId="16" priority="2" operator="containsText" text="BELUM">
      <formula>NOT(ISERROR(SEARCH("BELUM",I30)))</formula>
    </cfRule>
    <cfRule type="containsText" dxfId="15" priority="4" operator="containsText" text="SELESAI">
      <formula>NOT(ISERROR(SEARCH("SELESAI",I30)))</formula>
    </cfRule>
  </conditionalFormatting>
  <conditionalFormatting sqref="J12:J29 J32">
    <cfRule type="containsText" dxfId="14" priority="6" operator="containsText" text="COBA LAGI,JANGAN LUPA FORMAT NYA SESUAI ATURAN DIATAS YA">
      <formula>NOT(ISERROR(SEARCH("COBA LAGI,JANGAN LUPA FORMAT NYA SESUAI ATURAN DIATAS YA",J12)))</formula>
    </cfRule>
  </conditionalFormatting>
  <conditionalFormatting sqref="J12:J29 J32:J33">
    <cfRule type="containsText" dxfId="13" priority="7" operator="containsText" text="YUP BENARR">
      <formula>NOT(ISERROR(SEARCH("YUP BENARR",J12)))</formula>
    </cfRule>
  </conditionalFormatting>
  <conditionalFormatting sqref="J24:J26">
    <cfRule type="containsText" dxfId="12" priority="5" operator="containsText" text="YEAY KALAU SDH BENARR SEMUA,SEKARANG KAMU BISA KE LEVEL 2">
      <formula>NOT(ISERROR(SEARCH("YEAY KALAU SDH BENARR SEMUA,SEKARANG KAMU BISA KE LEVEL 2",J24)))</formula>
    </cfRule>
  </conditionalFormatting>
  <hyperlinks>
    <hyperlink ref="C53" location="'LEVEL 1'!A110" display="KLIK INI" xr:uid="{44190A88-ACD9-4543-AD26-9E36B5A3234A}"/>
    <hyperlink ref="G106" location="'LEVEL 1'!A1" display="Kembali Ke Soal" xr:uid="{E4EF8EAD-60DE-4EE9-9569-4B463C909FA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31A0-9CC8-450B-A011-D3FF1C544154}">
  <dimension ref="A1:Z139"/>
  <sheetViews>
    <sheetView topLeftCell="A22" zoomScale="85" zoomScaleNormal="85" workbookViewId="0">
      <selection activeCell="C11" sqref="C11"/>
    </sheetView>
  </sheetViews>
  <sheetFormatPr defaultRowHeight="14.5"/>
  <cols>
    <col min="2" max="2" width="57.26953125" customWidth="1"/>
    <col min="3" max="3" width="22.26953125" customWidth="1"/>
    <col min="4" max="4" width="26.54296875" customWidth="1"/>
    <col min="6" max="6" width="19.90625" customWidth="1"/>
    <col min="8" max="8" width="14.7265625" bestFit="1" customWidth="1"/>
  </cols>
  <sheetData>
    <row r="1" spans="1:26" ht="9" customHeight="1" thickBot="1">
      <c r="O1" s="139" t="str">
        <f>INDEX('LEVEL 1'!F2,1,1)</f>
        <v>⏳ BELUM DISELESAIKAN</v>
      </c>
    </row>
    <row r="2" spans="1:26" ht="21.5" customHeight="1" thickBot="1">
      <c r="B2" s="188" t="s">
        <v>133</v>
      </c>
      <c r="C2" s="188"/>
      <c r="D2" s="133" t="s">
        <v>159</v>
      </c>
    </row>
    <row r="3" spans="1:26" ht="21" customHeight="1" thickBot="1">
      <c r="B3" s="189" t="s">
        <v>86</v>
      </c>
      <c r="C3" s="189"/>
      <c r="D3" s="138" t="str">
        <f>IF(AND(COUNTIF(D10:D18,"*BENERR*")=ROWS(D10:D18),COUNTIF(D32:D34,"*BENAR*")=ROWS(D32:D34)),"SELESAI","⏳BELUM DISELESAIKAN")</f>
        <v>⏳BELUM DISELESAIKAN</v>
      </c>
    </row>
    <row r="4" spans="1:26" ht="40" customHeight="1">
      <c r="A4" s="11"/>
      <c r="B4" s="140"/>
      <c r="C4" s="21"/>
      <c r="D4" s="141" t="s">
        <v>161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/>
      <c r="B5" s="12" t="s">
        <v>7</v>
      </c>
      <c r="C5" s="44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6.5" customHeight="1">
      <c r="A6" s="11"/>
      <c r="B6" s="190" t="s">
        <v>160</v>
      </c>
      <c r="C6" s="45"/>
      <c r="E6" s="46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5" customHeight="1">
      <c r="A7" s="11"/>
      <c r="B7" s="190"/>
      <c r="C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0.5" customHeight="1" thickBo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thickBot="1">
      <c r="A9" s="13" t="s">
        <v>0</v>
      </c>
      <c r="B9" s="14" t="s">
        <v>3</v>
      </c>
      <c r="C9" s="14" t="s">
        <v>1</v>
      </c>
      <c r="D9" s="23" t="s">
        <v>2</v>
      </c>
      <c r="E9" s="11"/>
      <c r="F9" s="114" t="s">
        <v>81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8.5" customHeight="1">
      <c r="A10" s="182">
        <v>1</v>
      </c>
      <c r="B10" s="185" t="s">
        <v>6</v>
      </c>
      <c r="C10" s="116" t="s">
        <v>129</v>
      </c>
      <c r="D10" s="16" t="str">
        <f>IF(C10="","MASIH KOSONG NIH,YUK JAWAB DULU",IF(ISNUMBER(C10),"YEAY BENERR","SALAH"))</f>
        <v>SALAH</v>
      </c>
      <c r="E10" s="11"/>
      <c r="F10" s="191" t="s">
        <v>128</v>
      </c>
      <c r="G10" s="191"/>
      <c r="H10" s="19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8.5" customHeight="1">
      <c r="A11" s="183"/>
      <c r="B11" s="186"/>
      <c r="C11" s="117" t="s">
        <v>130</v>
      </c>
      <c r="D11" s="17" t="str">
        <f t="shared" ref="D11:D12" si="0">IF(C11="","MASIH KOSONG NIH,YUK JAWAB DULU",IF(ISNUMBER(C11),"YEAY BENERR","SALAH"))</f>
        <v>SALAH</v>
      </c>
      <c r="E11" s="11"/>
      <c r="F11" s="191" t="s">
        <v>126</v>
      </c>
      <c r="G11" s="191"/>
      <c r="H11" s="19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8.5" customHeight="1" thickBot="1">
      <c r="A12" s="184"/>
      <c r="B12" s="187"/>
      <c r="C12" s="53" t="s">
        <v>27</v>
      </c>
      <c r="D12" s="18" t="str">
        <f t="shared" si="0"/>
        <v>SALAH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8.5" customHeight="1">
      <c r="A13" s="182">
        <v>2</v>
      </c>
      <c r="B13" s="185" t="s">
        <v>8</v>
      </c>
      <c r="C13" s="47" t="s">
        <v>5</v>
      </c>
      <c r="D13" s="16" t="str">
        <f>IF(C13="","MASIH KOSONG NIH,YUK JAWAB DULU",IF(ISNUMBER(C13),"YEAY BENERR","SALAH"))</f>
        <v>SALAH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8.5" customHeight="1">
      <c r="A14" s="183"/>
      <c r="B14" s="186"/>
      <c r="C14" s="48" t="s">
        <v>82</v>
      </c>
      <c r="D14" s="17" t="str">
        <f t="shared" ref="D14:D15" si="1">IF(C14="","MASIH KOSONG NIH,YUK JAWAB DULU",IF(ISNUMBER(C14),"YEAY BENERR","SALAH"))</f>
        <v>SALAH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8" customHeight="1" thickBot="1">
      <c r="A15" s="184"/>
      <c r="B15" s="187"/>
      <c r="C15" s="49" t="s">
        <v>83</v>
      </c>
      <c r="D15" s="18" t="str">
        <f t="shared" si="1"/>
        <v>SALAH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8.5" customHeight="1">
      <c r="A16" s="182">
        <v>3</v>
      </c>
      <c r="B16" s="179" t="s">
        <v>145</v>
      </c>
      <c r="C16" s="50">
        <f>10*800</f>
        <v>8000</v>
      </c>
      <c r="D16" s="16" t="str">
        <f>IF(C16="","JAWAB DULU",IF(_xlfn.ISFORMULA(C16),"SALAH","YEAY BENERR"))</f>
        <v>SALAH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8.5" customHeight="1">
      <c r="A17" s="183"/>
      <c r="B17" s="180"/>
      <c r="C17" s="51">
        <f>2000000+410000</f>
        <v>2410000</v>
      </c>
      <c r="D17" s="17" t="str">
        <f t="shared" ref="D17:D18" si="2">IF(C17="","JAWAB DULU",IF(_xlfn.ISFORMULA(C17),"SALAH","YEAY BENERR"))</f>
        <v>SALAH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8.5" customHeight="1" thickBot="1">
      <c r="A18" s="184"/>
      <c r="B18" s="181"/>
      <c r="C18" s="52">
        <f>SUM(C24:C27)</f>
        <v>170</v>
      </c>
      <c r="D18" s="18" t="str">
        <f t="shared" si="2"/>
        <v>SALAH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6" thickBot="1">
      <c r="A22" s="11"/>
      <c r="B22" s="178" t="s">
        <v>43</v>
      </c>
      <c r="C22" s="178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thickBot="1">
      <c r="A23" s="101" t="s">
        <v>28</v>
      </c>
      <c r="B23" s="102" t="s">
        <v>30</v>
      </c>
      <c r="C23" s="102" t="s">
        <v>37</v>
      </c>
      <c r="D23" s="103" t="s">
        <v>29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04">
        <v>46273</v>
      </c>
      <c r="B24" s="79" t="s">
        <v>33</v>
      </c>
      <c r="C24" s="80">
        <v>10</v>
      </c>
      <c r="D24" s="105" t="s">
        <v>38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06" t="s">
        <v>31</v>
      </c>
      <c r="B25" s="82" t="s">
        <v>34</v>
      </c>
      <c r="C25" s="83">
        <v>80</v>
      </c>
      <c r="D25" s="107" t="s">
        <v>39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08">
        <v>46276</v>
      </c>
      <c r="B26" s="82" t="s">
        <v>35</v>
      </c>
      <c r="C26" s="81" t="s">
        <v>41</v>
      </c>
      <c r="D26" s="109">
        <v>150000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thickBot="1">
      <c r="A27" s="110" t="s">
        <v>32</v>
      </c>
      <c r="B27" s="111" t="s">
        <v>36</v>
      </c>
      <c r="C27" s="112">
        <v>80</v>
      </c>
      <c r="D27" s="113" t="s">
        <v>40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2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thickBot="1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thickBot="1">
      <c r="A31" s="84" t="s">
        <v>0</v>
      </c>
      <c r="B31" s="85" t="s">
        <v>45</v>
      </c>
      <c r="C31" s="14" t="s">
        <v>44</v>
      </c>
      <c r="D31" s="23" t="s">
        <v>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s="10" customFormat="1" ht="28" customHeight="1" thickBot="1">
      <c r="A32" s="86">
        <v>4</v>
      </c>
      <c r="B32" s="87" t="s">
        <v>42</v>
      </c>
      <c r="C32" s="19"/>
      <c r="D32" s="20" t="str">
        <f>IF(C32="","Isi Jawabannya di kolom C32",IF(C32=2,"BENAR","COBA LAGI"))</f>
        <v>Isi Jawabannya di kolom C32</v>
      </c>
      <c r="E32" s="1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s="10" customFormat="1" ht="28" customHeight="1" thickBot="1">
      <c r="A33" s="86">
        <v>5</v>
      </c>
      <c r="B33" s="87" t="s">
        <v>47</v>
      </c>
      <c r="C33" s="19"/>
      <c r="D33" s="20" t="str">
        <f>IF(C33="","Isi Jawabannya di kolom C33",IF(C33=3,"BENAR","COBA LAGI"))</f>
        <v>Isi Jawabannya di kolom C33</v>
      </c>
      <c r="E33" s="22"/>
      <c r="F33" s="54"/>
      <c r="G33" s="54"/>
      <c r="H33" s="54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s="10" customFormat="1" ht="28" customHeight="1" thickBot="1">
      <c r="A34" s="86">
        <v>6</v>
      </c>
      <c r="B34" s="87" t="s">
        <v>46</v>
      </c>
      <c r="C34" s="19"/>
      <c r="D34" s="20" t="str">
        <f>IF(C34="","Isi Jawabannya di kolom C34",IF(C34=1,"BENAR","COBA LAGI"))</f>
        <v>Isi Jawabannya di kolom C34</v>
      </c>
      <c r="E34" s="22"/>
      <c r="F34" s="98" t="s">
        <v>87</v>
      </c>
      <c r="G34" s="54"/>
      <c r="H34" s="54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11"/>
      <c r="B35" s="11"/>
      <c r="C35" s="11"/>
      <c r="D35" s="11"/>
      <c r="E35" s="22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C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5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thickBo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5.5" customHeight="1">
      <c r="C45" s="61"/>
      <c r="F45" s="56"/>
      <c r="H45" s="11"/>
    </row>
    <row r="46" spans="1:26">
      <c r="A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E139" s="11"/>
    </row>
  </sheetData>
  <sheetProtection algorithmName="SHA-512" hashValue="ORI4xW6bDqYvWUeuQItM84uZ9Ux3tpWAjhgFv/sadrPTEjuIBqVa0Q7AmlOJfcDzX0nbdzczKH4dsn7Rmo6D4w==" saltValue="jPfM62N2HRqQBQSJK71s0w==" spinCount="100000" sheet="1" objects="1" scenarios="1"/>
  <mergeCells count="12">
    <mergeCell ref="B2:C2"/>
    <mergeCell ref="B3:C3"/>
    <mergeCell ref="B6:B7"/>
    <mergeCell ref="F10:H10"/>
    <mergeCell ref="F11:H11"/>
    <mergeCell ref="B22:C22"/>
    <mergeCell ref="B16:B18"/>
    <mergeCell ref="A16:A18"/>
    <mergeCell ref="B10:B12"/>
    <mergeCell ref="A10:A12"/>
    <mergeCell ref="B13:B15"/>
    <mergeCell ref="A13:A15"/>
  </mergeCells>
  <phoneticPr fontId="12" type="noConversion"/>
  <conditionalFormatting sqref="A1:H39">
    <cfRule type="expression" dxfId="11" priority="1">
      <formula>ISNUMBER(SEARCH("BELUM",$O$1))</formula>
    </cfRule>
    <cfRule type="expression" priority="2">
      <formula>$O$1&lt;&gt;"SELESAI"</formula>
    </cfRule>
  </conditionalFormatting>
  <conditionalFormatting sqref="D3">
    <cfRule type="containsText" dxfId="10" priority="3" operator="containsText" text="BELUM DISELESAIKAN">
      <formula>NOT(ISERROR(SEARCH("BELUM DISELESAIKAN",D3)))</formula>
    </cfRule>
    <cfRule type="containsText" dxfId="9" priority="4" operator="containsText" text="SELESAI">
      <formula>NOT(ISERROR(SEARCH("SELESAI",D3)))</formula>
    </cfRule>
  </conditionalFormatting>
  <conditionalFormatting sqref="D10:D18">
    <cfRule type="containsText" dxfId="8" priority="11" operator="containsText" text="SALAH">
      <formula>NOT(ISERROR(SEARCH("SALAH",D10)))</formula>
    </cfRule>
    <cfRule type="containsText" dxfId="7" priority="12" operator="containsText" text="YEAY BENERR">
      <formula>NOT(ISERROR(SEARCH("YEAY BENERR",D10)))</formula>
    </cfRule>
  </conditionalFormatting>
  <conditionalFormatting sqref="D32:D34">
    <cfRule type="containsText" dxfId="6" priority="5" operator="containsText" text="COBA LAGI">
      <formula>NOT(ISERROR(SEARCH("COBA LAGI",D32)))</formula>
    </cfRule>
    <cfRule type="containsText" dxfId="5" priority="6" operator="containsText" text="BENAR">
      <formula>NOT(ISERROR(SEARCH("BENAR",D32)))</formula>
    </cfRule>
    <cfRule type="containsText" dxfId="4" priority="7" operator="containsText" text="SALAH">
      <formula>NOT(ISERROR(SEARCH("SALAH",D32)))</formula>
    </cfRule>
    <cfRule type="containsText" dxfId="3" priority="8" operator="containsText" text="YEAY BENERR">
      <formula>NOT(ISERROR(SEARCH("YEAY BENERR",D32)))</formula>
    </cfRule>
  </conditionalFormatting>
  <hyperlinks>
    <hyperlink ref="F34" location="'LEVEL 3'!A1" display="LANJUT LEVEL 3" xr:uid="{ADAE1B18-D720-44D1-B3F9-BD31CC5AFBBF}"/>
  </hyperlinks>
  <pageMargins left="0.7" right="0.7" top="0.75" bottom="0.75" header="0.3" footer="0.3"/>
  <ignoredErrors>
    <ignoredError sqref="D24:D25 C26 C12" numberStoredAsText="1"/>
    <ignoredError sqref="C16:C18 D3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BC99-1402-4167-96B9-6702F0C00F7D}">
  <dimension ref="A1:BS70"/>
  <sheetViews>
    <sheetView tabSelected="1" topLeftCell="A7" zoomScaleNormal="100" workbookViewId="0">
      <selection activeCell="F17" sqref="F17"/>
    </sheetView>
  </sheetViews>
  <sheetFormatPr defaultRowHeight="14.5"/>
  <cols>
    <col min="2" max="2" width="3.453125" bestFit="1" customWidth="1"/>
    <col min="3" max="3" width="11.36328125" customWidth="1"/>
    <col min="4" max="4" width="16.08984375" customWidth="1"/>
    <col min="5" max="5" width="11.7265625" customWidth="1"/>
    <col min="6" max="6" width="19.81640625" style="4" customWidth="1"/>
    <col min="7" max="7" width="12.6328125" style="4" customWidth="1"/>
    <col min="8" max="8" width="25.54296875" customWidth="1"/>
    <col min="9" max="9" width="22.453125" customWidth="1"/>
  </cols>
  <sheetData>
    <row r="1" spans="2:66">
      <c r="O1" s="139" t="str">
        <f>INDEX('LEVEL 2'!D3,1,1)</f>
        <v>⏳BELUM DISELESAIKAN</v>
      </c>
    </row>
    <row r="2" spans="2:66" ht="15" thickBot="1"/>
    <row r="3" spans="2:66" ht="24.5" thickTop="1" thickBot="1">
      <c r="C3" s="197" t="s">
        <v>146</v>
      </c>
      <c r="D3" s="197"/>
      <c r="E3" s="197"/>
      <c r="F3" s="197"/>
      <c r="H3" s="200" t="s">
        <v>147</v>
      </c>
      <c r="I3" s="201"/>
      <c r="K3" s="4"/>
    </row>
    <row r="4" spans="2:66" ht="16" customHeight="1" thickTop="1" thickBot="1">
      <c r="C4" s="199" t="s">
        <v>151</v>
      </c>
      <c r="D4" s="199"/>
      <c r="E4" s="199"/>
      <c r="F4" s="199"/>
      <c r="H4" s="204" t="s">
        <v>150</v>
      </c>
      <c r="I4" s="205"/>
      <c r="J4" s="205"/>
      <c r="K4" s="206"/>
    </row>
    <row r="5" spans="2:66" ht="28" customHeight="1" thickBot="1">
      <c r="C5" s="198" t="s">
        <v>25</v>
      </c>
      <c r="D5" s="198"/>
      <c r="E5" s="198"/>
      <c r="F5" s="198"/>
      <c r="H5" s="207"/>
      <c r="I5" s="208"/>
      <c r="J5" s="208"/>
      <c r="K5" s="209"/>
    </row>
    <row r="6" spans="2:66" ht="15" thickBot="1">
      <c r="D6" s="202" t="s">
        <v>148</v>
      </c>
      <c r="E6" s="203"/>
      <c r="F6" s="135" t="str">
        <f>C67</f>
        <v>⏳ BELUM DISELESAIKAN</v>
      </c>
      <c r="H6" s="210"/>
      <c r="I6" s="211"/>
      <c r="J6" s="211"/>
      <c r="K6" s="212"/>
    </row>
    <row r="8" spans="2:66" ht="18.5">
      <c r="C8" s="142" t="s">
        <v>162</v>
      </c>
    </row>
    <row r="10" spans="2:66">
      <c r="B10" s="11"/>
      <c r="C10" s="268" t="s">
        <v>149</v>
      </c>
      <c r="D10" s="269"/>
      <c r="E10" s="269"/>
      <c r="F10" s="270"/>
      <c r="G10" s="270"/>
      <c r="H10" s="11"/>
      <c r="I10" s="11"/>
    </row>
    <row r="11" spans="2:66">
      <c r="B11" s="11"/>
      <c r="C11" s="11"/>
      <c r="D11" s="269"/>
      <c r="E11" s="269"/>
      <c r="F11" s="270"/>
      <c r="G11" s="270"/>
      <c r="H11" s="11"/>
      <c r="I11" s="11"/>
    </row>
    <row r="12" spans="2:66" ht="14.5" customHeight="1">
      <c r="B12" s="234" t="s">
        <v>0</v>
      </c>
      <c r="C12" s="235" t="s">
        <v>4</v>
      </c>
      <c r="D12" s="235" t="s">
        <v>9</v>
      </c>
      <c r="E12" s="236" t="s">
        <v>10</v>
      </c>
      <c r="F12" s="237" t="s">
        <v>11</v>
      </c>
      <c r="G12" s="238"/>
      <c r="H12" s="239" t="s">
        <v>23</v>
      </c>
      <c r="I12" s="239"/>
    </row>
    <row r="13" spans="2:66">
      <c r="B13" s="240"/>
      <c r="C13" s="241"/>
      <c r="D13" s="242"/>
      <c r="E13" s="243"/>
      <c r="F13" s="238" t="s">
        <v>12</v>
      </c>
      <c r="G13" s="238" t="s">
        <v>13</v>
      </c>
      <c r="H13" s="239" t="s">
        <v>12</v>
      </c>
      <c r="I13" s="239" t="s">
        <v>13</v>
      </c>
    </row>
    <row r="14" spans="2:66">
      <c r="B14" s="11">
        <v>1</v>
      </c>
      <c r="C14" s="244">
        <v>46003</v>
      </c>
      <c r="D14" s="245" t="s">
        <v>16</v>
      </c>
      <c r="E14" s="246">
        <v>50</v>
      </c>
      <c r="F14" s="238">
        <v>3000</v>
      </c>
      <c r="G14" s="247">
        <v>3500</v>
      </c>
      <c r="H14" s="248">
        <f>E14*F14</f>
        <v>150000</v>
      </c>
      <c r="I14" s="248">
        <f>E14*G14</f>
        <v>175000</v>
      </c>
      <c r="BN14" s="1"/>
    </row>
    <row r="15" spans="2:66">
      <c r="B15" s="11">
        <v>3</v>
      </c>
      <c r="C15" s="249" t="s">
        <v>15</v>
      </c>
      <c r="D15" s="250" t="s">
        <v>17</v>
      </c>
      <c r="E15" s="239">
        <v>12</v>
      </c>
      <c r="F15" s="251">
        <v>30000</v>
      </c>
      <c r="G15" s="252">
        <v>33000</v>
      </c>
      <c r="H15" s="253">
        <f t="shared" ref="H15:H21" si="0">E15*F15</f>
        <v>360000</v>
      </c>
      <c r="I15" s="253">
        <f t="shared" ref="I15:I21" si="1">E15*G15</f>
        <v>396000</v>
      </c>
    </row>
    <row r="16" spans="2:66">
      <c r="B16" s="11">
        <v>4</v>
      </c>
      <c r="C16" s="244">
        <v>46372</v>
      </c>
      <c r="D16" s="254" t="s">
        <v>18</v>
      </c>
      <c r="E16" s="255">
        <v>30</v>
      </c>
      <c r="F16" s="238">
        <v>5000</v>
      </c>
      <c r="G16" s="256">
        <v>4000</v>
      </c>
      <c r="H16" s="257" t="s">
        <v>24</v>
      </c>
      <c r="I16" s="258">
        <f t="shared" si="1"/>
        <v>120000</v>
      </c>
    </row>
    <row r="17" spans="1:21">
      <c r="B17" s="11">
        <v>5</v>
      </c>
      <c r="C17" s="244">
        <v>46373</v>
      </c>
      <c r="D17" s="11" t="s">
        <v>19</v>
      </c>
      <c r="E17" s="11">
        <v>80</v>
      </c>
      <c r="F17" s="259">
        <v>2000</v>
      </c>
      <c r="G17" s="252">
        <v>2500</v>
      </c>
      <c r="H17" s="253">
        <f t="shared" si="0"/>
        <v>160000</v>
      </c>
      <c r="I17" s="253">
        <f t="shared" si="1"/>
        <v>200000</v>
      </c>
    </row>
    <row r="18" spans="1:21">
      <c r="B18" s="11">
        <v>5</v>
      </c>
      <c r="C18" s="260">
        <v>46376</v>
      </c>
      <c r="D18" s="11" t="s">
        <v>20</v>
      </c>
      <c r="E18" s="11">
        <v>100</v>
      </c>
      <c r="F18" s="259">
        <v>500</v>
      </c>
      <c r="G18" s="252">
        <v>1000</v>
      </c>
      <c r="H18" s="253">
        <f t="shared" si="0"/>
        <v>50000</v>
      </c>
      <c r="I18" s="253">
        <f t="shared" si="1"/>
        <v>100000</v>
      </c>
    </row>
    <row r="19" spans="1:21">
      <c r="B19" s="11">
        <v>10</v>
      </c>
      <c r="C19" s="261">
        <v>46377</v>
      </c>
      <c r="D19" s="11" t="s">
        <v>152</v>
      </c>
      <c r="E19" s="11">
        <v>60</v>
      </c>
      <c r="F19" s="262">
        <v>4000</v>
      </c>
      <c r="G19" s="263">
        <v>4000</v>
      </c>
      <c r="H19" s="264">
        <f t="shared" si="0"/>
        <v>240000</v>
      </c>
      <c r="I19" s="264">
        <f t="shared" si="1"/>
        <v>240000</v>
      </c>
    </row>
    <row r="20" spans="1:21">
      <c r="B20" s="11">
        <v>10</v>
      </c>
      <c r="C20" s="265" t="s">
        <v>14</v>
      </c>
      <c r="D20" s="246" t="s">
        <v>21</v>
      </c>
      <c r="E20" s="246">
        <v>35</v>
      </c>
      <c r="F20" s="238">
        <v>4000</v>
      </c>
      <c r="G20" s="238">
        <v>3000</v>
      </c>
      <c r="H20" s="266">
        <f t="shared" si="0"/>
        <v>140000</v>
      </c>
      <c r="I20" s="266">
        <f t="shared" si="1"/>
        <v>105000</v>
      </c>
    </row>
    <row r="21" spans="1:21">
      <c r="B21" s="11">
        <v>10</v>
      </c>
      <c r="C21" s="267">
        <v>46379</v>
      </c>
      <c r="D21" s="239" t="s">
        <v>22</v>
      </c>
      <c r="E21" s="239">
        <v>22</v>
      </c>
      <c r="F21" s="238">
        <v>10000</v>
      </c>
      <c r="G21" s="238">
        <v>9500</v>
      </c>
      <c r="H21" s="266">
        <f t="shared" si="0"/>
        <v>220000</v>
      </c>
      <c r="I21" s="266">
        <f t="shared" si="1"/>
        <v>209000</v>
      </c>
    </row>
    <row r="22" spans="1:21">
      <c r="B22" s="11"/>
      <c r="C22" s="11"/>
      <c r="D22" s="11"/>
      <c r="E22" s="11"/>
      <c r="F22" s="270"/>
      <c r="G22" s="270"/>
      <c r="H22" s="11"/>
      <c r="I22" s="11"/>
    </row>
    <row r="23" spans="1:21">
      <c r="B23" s="11"/>
      <c r="C23" s="11"/>
      <c r="D23" s="11"/>
      <c r="E23" s="11"/>
      <c r="F23" s="270"/>
      <c r="G23" s="11" t="s">
        <v>23</v>
      </c>
      <c r="H23" s="253">
        <f>SUM(H14:H22)</f>
        <v>1320000</v>
      </c>
      <c r="I23" s="253">
        <f>SUM(I14:I22)</f>
        <v>1545000</v>
      </c>
    </row>
    <row r="24" spans="1:21">
      <c r="B24" s="196" t="str">
        <f>IF(SUMPRODUCT(--(B14:B21=ROW(B14:B21)-ROW(B14)+1))=ROWS(B14:B21),"YEAY Kolom no nya sudah benar","")</f>
        <v/>
      </c>
      <c r="C24" s="196"/>
      <c r="D24" s="69"/>
      <c r="E24" s="69"/>
      <c r="F24" s="136"/>
      <c r="G24" s="136"/>
      <c r="H24" s="69"/>
      <c r="I24" s="69"/>
    </row>
    <row r="25" spans="1:21">
      <c r="B25" s="196"/>
      <c r="C25" s="196"/>
      <c r="D25" s="69"/>
      <c r="E25" s="69"/>
      <c r="F25" s="136"/>
      <c r="G25" s="136"/>
      <c r="H25" s="196" t="str">
        <f>IF(SUMPRODUCT(--(H14:H21=E14:E21*F14:F21))=ROWS(H14:H21),"YEAY RUMUSNYA UDAH KAMU BENERIN, NICE !","")</f>
        <v/>
      </c>
      <c r="I25" s="196"/>
    </row>
    <row r="26" spans="1:21">
      <c r="B26" s="196"/>
      <c r="C26" s="196"/>
      <c r="D26" s="69"/>
      <c r="E26" s="69"/>
      <c r="F26" s="136"/>
      <c r="G26" s="136"/>
      <c r="H26" s="196"/>
      <c r="I26" s="196"/>
    </row>
    <row r="27" spans="1:21">
      <c r="B27" s="69"/>
      <c r="C27" s="69"/>
      <c r="D27" s="69"/>
      <c r="E27" s="69"/>
      <c r="F27" s="136"/>
      <c r="G27" s="136"/>
      <c r="H27" s="196"/>
      <c r="I27" s="196"/>
    </row>
    <row r="28" spans="1:21">
      <c r="B28" s="69"/>
      <c r="C28" s="69"/>
      <c r="D28" s="69"/>
      <c r="E28" s="69"/>
      <c r="F28" s="136"/>
      <c r="G28" s="136"/>
      <c r="H28" s="196"/>
      <c r="I28" s="196"/>
    </row>
    <row r="30" spans="1:21" ht="15" thickBot="1"/>
    <row r="31" spans="1:21" ht="4" customHeight="1" thickBot="1">
      <c r="A31" s="126"/>
      <c r="B31" s="127"/>
      <c r="C31" s="128"/>
      <c r="D31" s="127"/>
      <c r="E31" s="127"/>
      <c r="F31" s="129"/>
      <c r="G31" s="129"/>
      <c r="H31" s="130"/>
      <c r="I31" s="130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31"/>
    </row>
    <row r="32" spans="1:21">
      <c r="F32" s="5"/>
      <c r="G32" s="5"/>
      <c r="H32" s="6"/>
      <c r="I32" s="6"/>
    </row>
    <row r="33" spans="3:71">
      <c r="F33" s="5"/>
      <c r="G33" s="5"/>
      <c r="H33" s="6"/>
      <c r="I33" s="6"/>
    </row>
    <row r="34" spans="3:71">
      <c r="C34" s="1" t="s">
        <v>144</v>
      </c>
      <c r="F34" s="5"/>
      <c r="G34" s="5"/>
      <c r="H34" s="6"/>
      <c r="I34" s="6"/>
    </row>
    <row r="35" spans="3:71">
      <c r="C35" s="7"/>
      <c r="F35" s="5"/>
      <c r="G35" s="5"/>
      <c r="H35" s="6"/>
      <c r="I35" s="6"/>
    </row>
    <row r="36" spans="3:71">
      <c r="C36" s="8"/>
      <c r="F36" s="5"/>
      <c r="G36" s="5"/>
      <c r="H36" s="6"/>
      <c r="I36" s="6"/>
    </row>
    <row r="37" spans="3:71">
      <c r="C37" s="7"/>
      <c r="F37" s="5"/>
      <c r="G37" s="5"/>
      <c r="H37" s="9"/>
      <c r="I37" s="6"/>
      <c r="J37" s="67" t="s">
        <v>107</v>
      </c>
      <c r="K37" s="67"/>
    </row>
    <row r="38" spans="3:71">
      <c r="C38" s="7"/>
      <c r="F38" s="5"/>
      <c r="G38" s="5"/>
      <c r="H38" s="6"/>
      <c r="I38" s="6"/>
      <c r="J38" s="57" t="s">
        <v>113</v>
      </c>
      <c r="BS38" s="15"/>
    </row>
    <row r="39" spans="3:71">
      <c r="C39" s="7"/>
      <c r="F39" s="5"/>
      <c r="G39" s="5"/>
      <c r="H39" s="6"/>
      <c r="I39" s="6"/>
      <c r="J39" s="57" t="s">
        <v>114</v>
      </c>
      <c r="BS39" s="15"/>
    </row>
    <row r="40" spans="3:71">
      <c r="C40" s="7"/>
      <c r="F40" s="5"/>
      <c r="G40" s="5"/>
      <c r="H40" s="6"/>
      <c r="I40" s="6"/>
      <c r="J40" s="57" t="s">
        <v>115</v>
      </c>
      <c r="BS40" s="15"/>
    </row>
    <row r="41" spans="3:71">
      <c r="C41" s="8"/>
      <c r="F41" s="5"/>
      <c r="G41" s="5"/>
      <c r="H41" s="6"/>
      <c r="I41" s="6"/>
      <c r="J41" s="57" t="s">
        <v>117</v>
      </c>
      <c r="BS41" s="15"/>
    </row>
    <row r="42" spans="3:71">
      <c r="C42" s="7"/>
      <c r="F42" s="5"/>
      <c r="G42" s="5"/>
      <c r="H42" s="6"/>
      <c r="I42" s="6"/>
      <c r="J42" s="57" t="s">
        <v>116</v>
      </c>
    </row>
    <row r="43" spans="3:71">
      <c r="F43" s="5"/>
      <c r="G43" s="5"/>
    </row>
    <row r="44" spans="3:71">
      <c r="F44" s="5"/>
      <c r="G44"/>
      <c r="H44" s="6"/>
      <c r="I44" s="6"/>
    </row>
    <row r="53" spans="3:8">
      <c r="C53" t="s">
        <v>125</v>
      </c>
    </row>
    <row r="55" spans="3:8" ht="15" thickBot="1">
      <c r="F55" s="132" t="s">
        <v>154</v>
      </c>
    </row>
    <row r="56" spans="3:8" ht="15.5" thickTop="1" thickBot="1">
      <c r="C56" s="193" t="s">
        <v>153</v>
      </c>
      <c r="D56" s="193"/>
      <c r="E56" s="193"/>
      <c r="F56" s="194" t="s">
        <v>155</v>
      </c>
      <c r="G56" s="136"/>
      <c r="H56" s="69"/>
    </row>
    <row r="57" spans="3:8" ht="15.5" thickTop="1" thickBot="1">
      <c r="C57" s="193"/>
      <c r="D57" s="193"/>
      <c r="E57" s="193"/>
      <c r="F57" s="194"/>
      <c r="G57" s="69" t="str">
        <f>IF(F56="BELUM","KALAU GITU AYO EDIT DULU YA","")</f>
        <v>KALAU GITU AYO EDIT DULU YA</v>
      </c>
      <c r="H57" s="69"/>
    </row>
    <row r="58" spans="3:8" ht="14.5" customHeight="1" thickTop="1" thickBot="1">
      <c r="C58" s="193"/>
      <c r="D58" s="193"/>
      <c r="E58" s="193"/>
      <c r="F58" s="194"/>
      <c r="G58" s="136"/>
      <c r="H58" s="69"/>
    </row>
    <row r="59" spans="3:8" ht="14.5" customHeight="1" thickTop="1" thickBot="1">
      <c r="C59" s="193"/>
      <c r="D59" s="193"/>
      <c r="E59" s="193"/>
      <c r="F59" s="194"/>
      <c r="G59" s="136"/>
      <c r="H59" s="69"/>
    </row>
    <row r="60" spans="3:8" ht="14.5" customHeight="1" thickTop="1" thickBot="1">
      <c r="C60" s="69"/>
      <c r="D60" s="69"/>
      <c r="E60" s="69"/>
      <c r="F60" s="136"/>
      <c r="G60" s="136"/>
      <c r="H60" s="69"/>
    </row>
    <row r="61" spans="3:8" ht="15" thickTop="1">
      <c r="C61" s="213" t="str">
        <f>IF(F56="SUDAH","YAKIN NIH UDAH? JANGAN BOHONG YAA","")</f>
        <v/>
      </c>
      <c r="D61" s="214"/>
      <c r="E61" s="215"/>
      <c r="F61" s="222" t="s">
        <v>156</v>
      </c>
      <c r="G61" s="137"/>
      <c r="H61" s="69"/>
    </row>
    <row r="62" spans="3:8">
      <c r="C62" s="216"/>
      <c r="D62" s="217"/>
      <c r="E62" s="218"/>
      <c r="F62" s="223"/>
      <c r="G62" s="69" t="str">
        <f>IF(F61="SUDAH","YEAY BERARTI KAMU SUDAH BISA MERAPIKAN DATA YAAA",IF(F61="BELUM","KALAU GITU AYO EDIT DULU YA",""))</f>
        <v>YEAY BERARTI KAMU SUDAH BISA MERAPIKAN DATA YAAA</v>
      </c>
      <c r="H62" s="69"/>
    </row>
    <row r="63" spans="3:8" ht="15" thickBot="1">
      <c r="C63" s="219"/>
      <c r="D63" s="220"/>
      <c r="E63" s="221"/>
      <c r="F63" s="224"/>
      <c r="G63" s="137"/>
      <c r="H63" s="69"/>
    </row>
    <row r="64" spans="3:8" ht="15" thickTop="1">
      <c r="C64" s="69"/>
      <c r="D64" s="69"/>
      <c r="E64" s="69"/>
      <c r="F64" s="136"/>
      <c r="G64" s="136"/>
      <c r="H64" s="69"/>
    </row>
    <row r="65" spans="3:8" ht="15" thickBot="1">
      <c r="C65" s="69"/>
      <c r="D65" s="69"/>
      <c r="E65" s="69"/>
      <c r="F65" s="136"/>
      <c r="G65" s="136"/>
      <c r="H65" s="69"/>
    </row>
    <row r="66" spans="3:8" ht="15.5" thickTop="1" thickBot="1">
      <c r="C66" s="192" t="s">
        <v>148</v>
      </c>
      <c r="D66" s="192"/>
      <c r="E66" s="195" t="s">
        <v>88</v>
      </c>
      <c r="F66" s="195"/>
      <c r="G66" s="195"/>
      <c r="H66" s="195"/>
    </row>
    <row r="67" spans="3:8" ht="15.5" thickTop="1" thickBot="1">
      <c r="C67" s="194" t="str">
        <f>IF(G62="*SUDAH*","SELESAAII","⏳ BELUM DISELESAIKAN")</f>
        <v>⏳ BELUM DISELESAIKAN</v>
      </c>
      <c r="D67" s="194"/>
      <c r="E67" s="195"/>
      <c r="F67" s="195"/>
      <c r="G67" s="195"/>
      <c r="H67" s="195"/>
    </row>
    <row r="68" spans="3:8" ht="15.5" thickTop="1" thickBot="1">
      <c r="C68" s="194"/>
      <c r="D68" s="194"/>
      <c r="E68" s="195"/>
      <c r="F68" s="195"/>
      <c r="G68" s="195"/>
      <c r="H68" s="195"/>
    </row>
    <row r="69" spans="3:8" ht="15.5" thickTop="1" thickBot="1">
      <c r="C69" s="194"/>
      <c r="D69" s="194"/>
      <c r="E69" s="195"/>
      <c r="F69" s="195"/>
      <c r="G69" s="195"/>
      <c r="H69" s="195"/>
    </row>
    <row r="70" spans="3:8" ht="15" thickTop="1"/>
  </sheetData>
  <sheetProtection algorithmName="SHA-512" hashValue="2pAYsU36yO3bFjIANcA4s9V2bGh2qwckk1ACq46RjusL0OOeThUSiZUS5ynI/RezdUt4fGT61NhQ+ZvaTH/S8w==" saltValue="S46mEWXbuwY3GQ7nQ+4Row==" spinCount="100000" sheet="1" formatCells="0" formatColumns="0" formatRows="0" insertColumns="0" insertRows="0" insertHyperlinks="0" deleteColumns="0" deleteRows="0" autoFilter="0"/>
  <mergeCells count="15">
    <mergeCell ref="C3:F3"/>
    <mergeCell ref="C5:F5"/>
    <mergeCell ref="C4:F4"/>
    <mergeCell ref="H3:I3"/>
    <mergeCell ref="D6:E6"/>
    <mergeCell ref="H4:K6"/>
    <mergeCell ref="C66:D66"/>
    <mergeCell ref="C56:E59"/>
    <mergeCell ref="F56:F59"/>
    <mergeCell ref="E66:H69"/>
    <mergeCell ref="H25:I28"/>
    <mergeCell ref="B24:C26"/>
    <mergeCell ref="C61:E63"/>
    <mergeCell ref="F61:F63"/>
    <mergeCell ref="C67:D69"/>
  </mergeCells>
  <conditionalFormatting sqref="A1:T71">
    <cfRule type="expression" dxfId="2" priority="1">
      <formula>ISNUMBER(SEARCH("BELUM",$O$1))</formula>
    </cfRule>
  </conditionalFormatting>
  <conditionalFormatting sqref="E66">
    <cfRule type="containsText" dxfId="1" priority="2" operator="containsText" text="KALAU SUDAH, AYO LANJUT KE LEVEL 4~">
      <formula>NOT(ISERROR(SEARCH("KALAU SUDAH, AYO LANJUT KE LEVEL 4~",E66)))</formula>
    </cfRule>
  </conditionalFormatting>
  <dataValidations count="1">
    <dataValidation type="list" allowBlank="1" showInputMessage="1" showErrorMessage="1" sqref="F56:F59 F61:F63" xr:uid="{360FA952-FAA0-46E8-B413-A0FF20F8A11E}">
      <formula1>"SUDAH,BELUM"</formula1>
    </dataValidation>
  </dataValidations>
  <hyperlinks>
    <hyperlink ref="E66:F68" location="'LEVEL 4'!A1" display="KALAU SUDAH, AYO LANJUT KE LEVEL 4~" xr:uid="{E6CE319C-60BA-47B5-9538-4CD3637D10BC}"/>
  </hyperlinks>
  <pageMargins left="0.7" right="0.7" top="0.75" bottom="0.75" header="0.3" footer="0.3"/>
  <ignoredErrors>
    <ignoredError sqref="H14:H21" unlocked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B5B4-2918-4553-B549-40AF80EDE167}">
  <dimension ref="B1:O32"/>
  <sheetViews>
    <sheetView workbookViewId="0">
      <selection activeCell="B14" sqref="B14"/>
    </sheetView>
  </sheetViews>
  <sheetFormatPr defaultRowHeight="14.5"/>
  <cols>
    <col min="2" max="2" width="10.453125" style="63" bestFit="1" customWidth="1"/>
    <col min="3" max="3" width="10.453125" style="62" customWidth="1"/>
    <col min="4" max="4" width="13.36328125" bestFit="1" customWidth="1"/>
    <col min="5" max="5" width="14.26953125" bestFit="1" customWidth="1"/>
    <col min="6" max="6" width="13.81640625" bestFit="1" customWidth="1"/>
    <col min="7" max="7" width="16.54296875" customWidth="1"/>
    <col min="9" max="9" width="12.7265625" customWidth="1"/>
    <col min="11" max="11" width="8.7265625" customWidth="1"/>
    <col min="15" max="15" width="2.08984375" customWidth="1"/>
  </cols>
  <sheetData>
    <row r="1" spans="2:15" ht="18.5" thickBot="1">
      <c r="B1" s="228" t="s">
        <v>157</v>
      </c>
      <c r="C1" s="229"/>
      <c r="D1" s="229"/>
      <c r="E1" s="229"/>
      <c r="F1" s="229"/>
      <c r="G1" s="229"/>
      <c r="H1" s="232" t="s">
        <v>148</v>
      </c>
      <c r="I1" s="232"/>
      <c r="O1" s="139" t="str">
        <f>INDEX('LEVEL 3'!F6,1,1)</f>
        <v>⏳ BELUM DISELESAIKAN</v>
      </c>
    </row>
    <row r="2" spans="2:15" ht="15" thickBot="1">
      <c r="B2" s="230" t="s">
        <v>158</v>
      </c>
      <c r="C2" s="231"/>
      <c r="D2" s="231"/>
      <c r="E2" s="231"/>
      <c r="F2" s="231"/>
      <c r="G2" s="231"/>
      <c r="H2" s="233" t="str">
        <f>IF(I11="*Level 4*","SELESAI","⏳ BELUM DISELESAIKAN")</f>
        <v>⏳ BELUM DISELESAIKAN</v>
      </c>
      <c r="I2" s="233"/>
    </row>
    <row r="3" spans="2:15" ht="23" customHeight="1">
      <c r="B3" s="143" t="s">
        <v>163</v>
      </c>
    </row>
    <row r="4" spans="2:15">
      <c r="B4" s="64" t="s">
        <v>102</v>
      </c>
    </row>
    <row r="5" spans="2:15">
      <c r="B5" s="65" t="s">
        <v>101</v>
      </c>
      <c r="C5" s="66"/>
      <c r="D5" s="67"/>
      <c r="E5" s="67"/>
      <c r="F5" s="67"/>
      <c r="G5" s="67"/>
      <c r="I5" s="226" t="s">
        <v>107</v>
      </c>
      <c r="J5" s="226"/>
      <c r="K5" s="226"/>
      <c r="L5" s="226"/>
      <c r="M5" s="226"/>
    </row>
    <row r="6" spans="2:15">
      <c r="B6" s="67" t="s">
        <v>103</v>
      </c>
      <c r="C6" s="66"/>
      <c r="D6" s="67"/>
      <c r="E6" s="67"/>
      <c r="F6" s="67"/>
      <c r="G6" s="67"/>
      <c r="I6" s="57" t="s">
        <v>131</v>
      </c>
      <c r="K6" s="68"/>
      <c r="L6" s="68"/>
      <c r="M6" s="68"/>
    </row>
    <row r="7" spans="2:15">
      <c r="B7" s="67" t="s">
        <v>104</v>
      </c>
      <c r="C7" s="66"/>
      <c r="D7" s="67"/>
      <c r="E7" s="67"/>
      <c r="F7" s="67"/>
      <c r="G7" s="67"/>
      <c r="I7" s="57" t="s">
        <v>108</v>
      </c>
      <c r="K7" s="68"/>
      <c r="L7" s="68"/>
      <c r="M7" s="68"/>
    </row>
    <row r="8" spans="2:15">
      <c r="B8" s="67" t="s">
        <v>105</v>
      </c>
      <c r="C8" s="66"/>
      <c r="D8" s="67"/>
      <c r="E8" s="67"/>
      <c r="F8" s="67"/>
      <c r="G8" s="67"/>
      <c r="I8" s="57" t="s">
        <v>106</v>
      </c>
      <c r="K8" s="68"/>
      <c r="L8" s="68"/>
      <c r="M8" s="68"/>
    </row>
    <row r="9" spans="2:15">
      <c r="B9"/>
    </row>
    <row r="10" spans="2:15">
      <c r="B10"/>
    </row>
    <row r="11" spans="2:15">
      <c r="B11" s="71" t="s">
        <v>94</v>
      </c>
      <c r="C11" s="72" t="s">
        <v>28</v>
      </c>
      <c r="D11" s="73" t="s">
        <v>48</v>
      </c>
      <c r="E11" s="73" t="s">
        <v>49</v>
      </c>
      <c r="F11" s="73" t="s">
        <v>29</v>
      </c>
      <c r="G11" s="73" t="s">
        <v>23</v>
      </c>
      <c r="I11" s="225" t="str">
        <f>IF(AND(COUNTIF($G$12:$G$21,"#VALUE!")=0,COUNT($G$12:$G$21)=ROWS($G$12:$G$21)),"Yeay! Udah semua 🎉 Terima kasih sudah mengikuti latihan sampai Level 4 ini, sampai jumpa di latihan selanjutnya 😊","")</f>
        <v/>
      </c>
      <c r="J11" s="225"/>
      <c r="K11" s="225"/>
      <c r="L11" s="225"/>
      <c r="M11" s="225"/>
    </row>
    <row r="12" spans="2:15" ht="14.5" customHeight="1">
      <c r="B12" s="74"/>
      <c r="C12" s="75">
        <v>46023</v>
      </c>
      <c r="D12" s="76" t="s">
        <v>68</v>
      </c>
      <c r="E12" s="77">
        <v>2</v>
      </c>
      <c r="F12" s="77">
        <v>15000000</v>
      </c>
      <c r="G12" s="77">
        <f>E12*F12</f>
        <v>30000000</v>
      </c>
      <c r="I12" s="225"/>
      <c r="J12" s="225"/>
      <c r="K12" s="225"/>
      <c r="L12" s="225"/>
      <c r="M12" s="225"/>
      <c r="N12" s="68"/>
      <c r="O12" s="68"/>
    </row>
    <row r="13" spans="2:15">
      <c r="B13" s="74"/>
      <c r="C13" s="75">
        <v>46026</v>
      </c>
      <c r="D13" s="76" t="s">
        <v>67</v>
      </c>
      <c r="E13" s="77">
        <v>5</v>
      </c>
      <c r="F13" s="77">
        <v>150000</v>
      </c>
      <c r="G13" s="77">
        <f t="shared" ref="G13:G21" si="0">E13*F13</f>
        <v>750000</v>
      </c>
      <c r="I13" s="225"/>
      <c r="J13" s="225"/>
      <c r="K13" s="225"/>
      <c r="L13" s="225"/>
      <c r="M13" s="225"/>
    </row>
    <row r="14" spans="2:15" ht="14.5" customHeight="1">
      <c r="B14" s="74"/>
      <c r="C14" s="75">
        <v>46031</v>
      </c>
      <c r="D14" s="76" t="s">
        <v>63</v>
      </c>
      <c r="E14" s="78" t="s">
        <v>96</v>
      </c>
      <c r="F14" s="77">
        <v>350000</v>
      </c>
      <c r="G14" s="77" t="e">
        <f t="shared" si="0"/>
        <v>#VALUE!</v>
      </c>
      <c r="I14" s="225"/>
      <c r="J14" s="225"/>
      <c r="K14" s="225"/>
      <c r="L14" s="225"/>
      <c r="M14" s="225"/>
    </row>
    <row r="15" spans="2:15">
      <c r="B15" s="74"/>
      <c r="C15" s="75">
        <v>46032</v>
      </c>
      <c r="D15" s="76" t="s">
        <v>64</v>
      </c>
      <c r="E15" s="77">
        <v>1</v>
      </c>
      <c r="F15" s="78" t="s">
        <v>95</v>
      </c>
      <c r="G15" s="77" t="e">
        <f t="shared" si="0"/>
        <v>#VALUE!</v>
      </c>
      <c r="I15" s="225" t="str">
        <f>IF(AND(COUNTIF($G$12:$G$21,"#VALUE!")=0,COUNT($G$12:$G$21)=ROWS($G$12:$G$21)),"Jangan lupa nyalakan notifikasi untuk channel RanMaudy biar ga ketinggalan chapter selanjutnya!","")</f>
        <v/>
      </c>
      <c r="J15" s="225"/>
      <c r="K15" s="225"/>
      <c r="L15" s="225"/>
      <c r="M15" s="225"/>
    </row>
    <row r="16" spans="2:15" ht="14.5" customHeight="1">
      <c r="B16" s="74"/>
      <c r="C16" s="75">
        <v>46033</v>
      </c>
      <c r="D16" s="76" t="s">
        <v>80</v>
      </c>
      <c r="E16" s="77">
        <v>4</v>
      </c>
      <c r="F16" s="77">
        <v>450000</v>
      </c>
      <c r="G16" s="77">
        <f t="shared" si="0"/>
        <v>1800000</v>
      </c>
      <c r="I16" s="225"/>
      <c r="J16" s="225"/>
      <c r="K16" s="225"/>
      <c r="L16" s="225"/>
      <c r="M16" s="225"/>
    </row>
    <row r="17" spans="2:13">
      <c r="B17" s="74"/>
      <c r="C17" s="75">
        <v>46034</v>
      </c>
      <c r="D17" s="76" t="s">
        <v>68</v>
      </c>
      <c r="E17" s="77" t="s">
        <v>97</v>
      </c>
      <c r="F17" s="77">
        <v>15000000</v>
      </c>
      <c r="G17" s="77" t="e">
        <f t="shared" si="0"/>
        <v>#VALUE!</v>
      </c>
      <c r="I17" s="225"/>
      <c r="J17" s="225"/>
      <c r="K17" s="225"/>
      <c r="L17" s="225"/>
      <c r="M17" s="225"/>
    </row>
    <row r="18" spans="2:13">
      <c r="B18" s="74"/>
      <c r="C18" s="75">
        <v>46036</v>
      </c>
      <c r="D18" s="76" t="s">
        <v>67</v>
      </c>
      <c r="E18" s="77" t="s">
        <v>98</v>
      </c>
      <c r="F18" s="77" t="s">
        <v>100</v>
      </c>
      <c r="G18" s="77" t="e">
        <f t="shared" si="0"/>
        <v>#VALUE!</v>
      </c>
      <c r="I18" s="225"/>
      <c r="J18" s="225"/>
      <c r="K18" s="225"/>
      <c r="L18" s="225"/>
      <c r="M18" s="225"/>
    </row>
    <row r="19" spans="2:13">
      <c r="B19" s="74"/>
      <c r="C19" s="75">
        <v>46040</v>
      </c>
      <c r="D19" s="76" t="s">
        <v>63</v>
      </c>
      <c r="E19" s="78">
        <v>3</v>
      </c>
      <c r="F19" s="77">
        <v>350000</v>
      </c>
      <c r="G19" s="77">
        <f t="shared" si="0"/>
        <v>1050000</v>
      </c>
    </row>
    <row r="20" spans="2:13">
      <c r="B20" s="74"/>
      <c r="C20" s="75">
        <v>46041</v>
      </c>
      <c r="D20" s="76" t="s">
        <v>64</v>
      </c>
      <c r="E20" s="77">
        <v>1</v>
      </c>
      <c r="F20" s="78" t="s">
        <v>79</v>
      </c>
      <c r="G20" s="77" t="e">
        <f t="shared" si="0"/>
        <v>#VALUE!</v>
      </c>
    </row>
    <row r="21" spans="2:13">
      <c r="B21" s="74"/>
      <c r="C21" s="75">
        <v>46042</v>
      </c>
      <c r="D21" s="76" t="s">
        <v>80</v>
      </c>
      <c r="E21" s="77" t="s">
        <v>99</v>
      </c>
      <c r="F21" s="77">
        <v>450000</v>
      </c>
      <c r="G21" s="77" t="e">
        <f t="shared" si="0"/>
        <v>#VALUE!</v>
      </c>
    </row>
    <row r="23" spans="2:13" ht="14.5" customHeight="1"/>
    <row r="24" spans="2:13" ht="14.5" customHeight="1">
      <c r="B24" s="227" t="str">
        <f>IF(SUMPRODUCT(--(B12:B21=ROW(B12:B21)-ROW(B12)+1))=ROWS(B12:B21),"Yeay! Kolom No sudah benar, dipastikan cara pengerjaannya pakai drag yaa 🎉","")</f>
        <v/>
      </c>
      <c r="C24" s="227"/>
      <c r="D24" s="227"/>
      <c r="E24" s="69"/>
    </row>
    <row r="25" spans="2:13" ht="14.5" customHeight="1">
      <c r="B25" s="227"/>
      <c r="C25" s="227"/>
      <c r="D25" s="227"/>
      <c r="E25" s="69"/>
    </row>
    <row r="26" spans="2:13">
      <c r="B26" s="227"/>
      <c r="C26" s="227"/>
      <c r="D26" s="227"/>
      <c r="E26" s="69"/>
    </row>
    <row r="27" spans="2:13">
      <c r="B27" s="227"/>
      <c r="C27" s="227"/>
      <c r="D27" s="227"/>
      <c r="E27" s="69"/>
    </row>
    <row r="28" spans="2:13">
      <c r="D28" s="70"/>
      <c r="E28" s="69"/>
      <c r="F28" s="69"/>
      <c r="G28" s="69"/>
      <c r="H28" s="69"/>
    </row>
    <row r="29" spans="2:13">
      <c r="E29" s="69"/>
    </row>
    <row r="30" spans="2:13">
      <c r="E30" s="69"/>
    </row>
    <row r="31" spans="2:13">
      <c r="E31" s="69"/>
    </row>
    <row r="32" spans="2:13">
      <c r="E32" s="69"/>
    </row>
  </sheetData>
  <sheetProtection algorithmName="SHA-512" hashValue="2+Yn1SsC/4F0tnK8vVbg3zXGNergFYZG57hPEVckUkMIoRdfLDeOt32WYL4+lvtfid8X2IX1Z+34fiatnQRjZw==" saltValue="YQOfg3JU8o1gCYcNV5PdPA==" spinCount="100000" sheet="1" objects="1" scenarios="1"/>
  <mergeCells count="8">
    <mergeCell ref="I11:M14"/>
    <mergeCell ref="I15:M18"/>
    <mergeCell ref="I5:M5"/>
    <mergeCell ref="B24:D27"/>
    <mergeCell ref="B1:G1"/>
    <mergeCell ref="B2:G2"/>
    <mergeCell ref="H1:I1"/>
    <mergeCell ref="H2:I2"/>
  </mergeCells>
  <conditionalFormatting sqref="A1:T27">
    <cfRule type="expression" dxfId="0" priority="1">
      <formula>ISNUMBER(SEARCH("BELUM",$O$1))</formula>
    </cfRule>
  </conditionalFormatting>
  <pageMargins left="0.7" right="0.7" top="0.75" bottom="0.75" header="0.3" footer="0.3"/>
  <ignoredErrors>
    <ignoredError sqref="E15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CATATAN</vt:lpstr>
      <vt:lpstr>LEVEL 1</vt:lpstr>
      <vt:lpstr>LEVEL 2</vt:lpstr>
      <vt:lpstr>LEVEL 3</vt:lpstr>
      <vt:lpstr>LEVEL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2026-01-01T09:05:24Z</dcterms:created>
  <dcterms:modified xsi:type="dcterms:W3CDTF">2026-02-02T17:29:06Z</dcterms:modified>
</cp:coreProperties>
</file>