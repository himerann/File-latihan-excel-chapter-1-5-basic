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file aku\CHAPTER 4\"/>
    </mc:Choice>
  </mc:AlternateContent>
  <xr:revisionPtr revIDLastSave="0" documentId="13_ncr:1_{6734EB44-5603-48E9-B529-51E443F211DD}" xr6:coauthVersionLast="47" xr6:coauthVersionMax="47" xr10:uidLastSave="{00000000-0000-0000-0000-000000000000}"/>
  <bookViews>
    <workbookView xWindow="-110" yWindow="-110" windowWidth="19420" windowHeight="11020" activeTab="4" xr2:uid="{693565E2-392B-4565-A682-3DF03F4B8C70}"/>
  </bookViews>
  <sheets>
    <sheet name="CATATAN" sheetId="4" r:id="rId1"/>
    <sheet name="LEVEL 1" sheetId="5" r:id="rId2"/>
    <sheet name="LEVEL 2" sheetId="8" r:id="rId3"/>
    <sheet name="LEVEL 3" sheetId="9" r:id="rId4"/>
    <sheet name="LEVEL 4" sheetId="13" r:id="rId5"/>
    <sheet name="DATA LEVEL 4" sheetId="14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5" i="9" l="1"/>
  <c r="D83" i="9"/>
  <c r="J52" i="13"/>
  <c r="K27" i="13"/>
  <c r="J40" i="13"/>
  <c r="J27" i="13"/>
  <c r="J39" i="13"/>
  <c r="J48" i="13"/>
  <c r="J38" i="13"/>
  <c r="J50" i="13"/>
  <c r="J29" i="13"/>
  <c r="J41" i="13"/>
  <c r="J37" i="13"/>
  <c r="J47" i="13"/>
  <c r="J31" i="13"/>
  <c r="J30" i="13"/>
  <c r="J51" i="13"/>
  <c r="J49" i="13"/>
  <c r="J28" i="13"/>
  <c r="I55" i="13" l="1"/>
  <c r="I59" i="13" s="1"/>
  <c r="C20" i="13"/>
  <c r="D20" i="13" s="1"/>
  <c r="G74" i="9"/>
  <c r="F74" i="9"/>
  <c r="E74" i="9"/>
  <c r="K30" i="13"/>
  <c r="K50" i="13"/>
  <c r="K31" i="13"/>
  <c r="K51" i="13"/>
  <c r="K49" i="13"/>
  <c r="K38" i="13"/>
  <c r="K52" i="13"/>
  <c r="K39" i="13"/>
  <c r="K28" i="13"/>
  <c r="K40" i="13"/>
  <c r="K41" i="13"/>
  <c r="K48" i="13"/>
  <c r="K29" i="13"/>
  <c r="K37" i="13"/>
  <c r="K47" i="13"/>
  <c r="L20" i="8"/>
  <c r="L69" i="8"/>
  <c r="G2" i="13" l="1"/>
  <c r="H74" i="9"/>
  <c r="D81" i="9"/>
  <c r="J11" i="5" l="1"/>
  <c r="J14" i="5"/>
  <c r="J20" i="5"/>
  <c r="J29" i="5"/>
  <c r="J26" i="5"/>
  <c r="J23" i="5"/>
  <c r="J17" i="5"/>
  <c r="L67" i="8"/>
  <c r="L51" i="8"/>
  <c r="L64" i="8"/>
  <c r="L46" i="8"/>
  <c r="L31" i="8"/>
  <c r="M41" i="8"/>
  <c r="L35" i="8"/>
  <c r="L62" i="8"/>
  <c r="L39" i="8"/>
  <c r="M20" i="8"/>
  <c r="L47" i="8"/>
  <c r="M60" i="8"/>
  <c r="L32" i="8"/>
  <c r="L34" i="8"/>
  <c r="L59" i="8"/>
  <c r="L26" i="8"/>
  <c r="M50" i="8"/>
  <c r="L40" i="8"/>
  <c r="L66" i="8"/>
  <c r="M36" i="8"/>
  <c r="M56" i="8"/>
  <c r="M46" i="8"/>
  <c r="L57" i="8"/>
  <c r="M55" i="8"/>
  <c r="L22" i="8"/>
  <c r="M21" i="8"/>
  <c r="M35" i="8"/>
  <c r="L54" i="8"/>
  <c r="M61" i="8"/>
  <c r="L58" i="8"/>
  <c r="M24" i="8"/>
  <c r="L24" i="8"/>
  <c r="M22" i="8"/>
  <c r="M25" i="8"/>
  <c r="L41" i="8"/>
  <c r="M30" i="8"/>
  <c r="M52" i="8"/>
  <c r="L36" i="8"/>
  <c r="L60" i="8"/>
  <c r="M64" i="8"/>
  <c r="L68" i="8"/>
  <c r="L52" i="8"/>
  <c r="L21" i="8"/>
  <c r="M67" i="8"/>
  <c r="M28" i="8"/>
  <c r="M31" i="8"/>
  <c r="M38" i="8"/>
  <c r="M27" i="8"/>
  <c r="L55" i="8"/>
  <c r="M57" i="8"/>
  <c r="M48" i="8"/>
  <c r="L23" i="8"/>
  <c r="M69" i="8"/>
  <c r="L43" i="8"/>
  <c r="L29" i="8"/>
  <c r="M59" i="8"/>
  <c r="M37" i="8"/>
  <c r="L53" i="8"/>
  <c r="L44" i="8"/>
  <c r="M51" i="8"/>
  <c r="M68" i="8"/>
  <c r="M42" i="8"/>
  <c r="M49" i="8"/>
  <c r="M58" i="8"/>
  <c r="M40" i="8"/>
  <c r="L33" i="8"/>
  <c r="M54" i="8"/>
  <c r="L37" i="8"/>
  <c r="L30" i="8"/>
  <c r="L56" i="8"/>
  <c r="L45" i="8"/>
  <c r="L61" i="8"/>
  <c r="M43" i="8"/>
  <c r="L42" i="8"/>
  <c r="M62" i="8"/>
  <c r="M65" i="8"/>
  <c r="M34" i="8"/>
  <c r="M33" i="8"/>
  <c r="M66" i="8"/>
  <c r="M29" i="8"/>
  <c r="L50" i="8"/>
  <c r="L27" i="8"/>
  <c r="L25" i="8"/>
  <c r="L65" i="8"/>
  <c r="L28" i="8"/>
  <c r="M23" i="8"/>
  <c r="L38" i="8"/>
  <c r="M39" i="8"/>
  <c r="L63" i="8"/>
  <c r="M32" i="8"/>
  <c r="M53" i="8"/>
  <c r="M63" i="8"/>
  <c r="M44" i="8"/>
  <c r="L48" i="8"/>
  <c r="M26" i="8"/>
  <c r="M47" i="8"/>
  <c r="L49" i="8"/>
  <c r="M45" i="8"/>
  <c r="I51" i="5" l="1"/>
  <c r="Q1" i="8" s="1"/>
  <c r="D79" i="9"/>
  <c r="L74" i="8"/>
  <c r="I2" i="8" s="1"/>
  <c r="L80" i="8"/>
  <c r="M71" i="8"/>
  <c r="L71" i="8"/>
  <c r="C1" i="5" l="1"/>
  <c r="O1" i="9"/>
  <c r="H81" i="9" l="1"/>
  <c r="I2" i="9" s="1"/>
  <c r="O1" i="13" s="1"/>
</calcChain>
</file>

<file path=xl/sharedStrings.xml><?xml version="1.0" encoding="utf-8"?>
<sst xmlns="http://schemas.openxmlformats.org/spreadsheetml/2006/main" count="544" uniqueCount="255">
  <si>
    <t>NO</t>
  </si>
  <si>
    <t>CEK OTOMATIS</t>
  </si>
  <si>
    <t>TOTAL</t>
  </si>
  <si>
    <t>Harga</t>
  </si>
  <si>
    <t>PERTANYAAN</t>
  </si>
  <si>
    <t>Quantity</t>
  </si>
  <si>
    <t>Jawaban Kamu</t>
  </si>
  <si>
    <t>Kembali lagi ke soal klik ini :</t>
  </si>
  <si>
    <t>Kembali Ke Soal</t>
  </si>
  <si>
    <t>No</t>
  </si>
  <si>
    <t>Baca range nya berdasarkan kolom dan baris yg ada di gambar tersebut.</t>
  </si>
  <si>
    <t>AYO KERJAKAN LATIHANNYA ~</t>
  </si>
  <si>
    <t>Untuk mengerjakan latihan ini, mohon gunakan aplikasi Microsoft Excel di laptop atau komputer.</t>
  </si>
  <si>
    <t>Tidak disarankan membuka file ini melalui Google Sheets atau perangkat seluler, karena dapat menyebabkan perbedaan hasil atau error.</t>
  </si>
  <si>
    <t>Rangkuman Poin Penting :</t>
  </si>
  <si>
    <t>Lihat gambar dibawah ini jika warna tabel di atas tidak sesuai soal :</t>
  </si>
  <si>
    <t>LATIHAN CHAPTER 4</t>
  </si>
  <si>
    <t xml:space="preserve"> (SEMUA SESUAI PENJELASAN YG ADA DI CHAPTER 4. JADI PASTIKAN TONTON VIDEONYA TERLEBIH DAHULU)</t>
  </si>
  <si>
    <t>+</t>
  </si>
  <si>
    <t>TAMBAH</t>
  </si>
  <si>
    <t>()</t>
  </si>
  <si>
    <t>UNTUK CELL</t>
  </si>
  <si>
    <t>-</t>
  </si>
  <si>
    <t>KURANG</t>
  </si>
  <si>
    <t>&amp;</t>
  </si>
  <si>
    <t>GABUNG TEKS</t>
  </si>
  <si>
    <t>*</t>
  </si>
  <si>
    <t>KALI</t>
  </si>
  <si>
    <t>UNTUK TEKS</t>
  </si>
  <si>
    <t>/</t>
  </si>
  <si>
    <t>BAGI</t>
  </si>
  <si>
    <t>$</t>
  </si>
  <si>
    <t>KUNCI CELL</t>
  </si>
  <si>
    <t>%</t>
  </si>
  <si>
    <t>PERSEN</t>
  </si>
  <si>
    <t>!</t>
  </si>
  <si>
    <t>SHEET LAIN</t>
  </si>
  <si>
    <t>:</t>
  </si>
  <si>
    <t>SAMPAI</t>
  </si>
  <si>
    <t>&gt;</t>
  </si>
  <si>
    <t>LEBIH BESAR</t>
  </si>
  <si>
    <t>;</t>
  </si>
  <si>
    <t>&lt;</t>
  </si>
  <si>
    <t>LEBIH KECIL</t>
  </si>
  <si>
    <t>Simbol yg ada di rumus :</t>
  </si>
  <si>
    <t>" "</t>
  </si>
  <si>
    <t>SUM</t>
  </si>
  <si>
    <t>COUNTA</t>
  </si>
  <si>
    <t>COUNT</t>
  </si>
  <si>
    <r>
      <t xml:space="preserve">Menjumlahkan </t>
    </r>
    <r>
      <rPr>
        <b/>
        <sz val="11"/>
        <color theme="1"/>
        <rFont val="Calibri"/>
        <family val="2"/>
        <scheme val="minor"/>
      </rPr>
      <t>angka saja</t>
    </r>
    <r>
      <rPr>
        <sz val="11"/>
        <color theme="1"/>
        <rFont val="Calibri"/>
        <family val="2"/>
        <scheme val="minor"/>
      </rPr>
      <t>.</t>
    </r>
  </si>
  <si>
    <r>
      <t xml:space="preserve">Menghitung </t>
    </r>
    <r>
      <rPr>
        <b/>
        <sz val="11"/>
        <color theme="1"/>
        <rFont val="Calibri"/>
        <family val="2"/>
        <scheme val="minor"/>
      </rPr>
      <t>berapa sel yang berisi angka</t>
    </r>
    <r>
      <rPr>
        <sz val="11"/>
        <color theme="1"/>
        <rFont val="Calibri"/>
        <family val="2"/>
        <scheme val="minor"/>
      </rPr>
      <t>. Teks &amp; kosong tidak dihitung.</t>
    </r>
  </si>
  <si>
    <t>Rumus Dasar (Yg dijelaskan di video)</t>
  </si>
  <si>
    <r>
      <t xml:space="preserve">Menghitung </t>
    </r>
    <r>
      <rPr>
        <b/>
        <sz val="11"/>
        <color theme="1"/>
        <rFont val="Calibri"/>
        <family val="2"/>
        <scheme val="minor"/>
      </rPr>
      <t>semua sel yang tidak kosong</t>
    </r>
    <r>
      <rPr>
        <sz val="11"/>
        <color theme="1"/>
        <rFont val="Calibri"/>
        <family val="2"/>
        <scheme val="minor"/>
      </rPr>
      <t>. Angka, teks, simbol dihitung semua.</t>
    </r>
  </si>
  <si>
    <t>PEMISAH RUMUS (Excel versi lama)</t>
  </si>
  <si>
    <t>,</t>
  </si>
  <si>
    <t>PEMISAH RUMUS (Excel versi baru)</t>
  </si>
  <si>
    <r>
      <t xml:space="preserve">Mengambil </t>
    </r>
    <r>
      <rPr>
        <b/>
        <sz val="11"/>
        <color theme="1"/>
        <rFont val="Calibri"/>
        <family val="2"/>
        <scheme val="minor"/>
      </rPr>
      <t>sejumlah karakter dari kiri</t>
    </r>
    <r>
      <rPr>
        <sz val="11"/>
        <color theme="1"/>
        <rFont val="Calibri"/>
        <family val="2"/>
        <scheme val="minor"/>
      </rPr>
      <t xml:space="preserve"> pada teks.</t>
    </r>
  </si>
  <si>
    <t>LEFT</t>
  </si>
  <si>
    <t>=</t>
  </si>
  <si>
    <t>MEMANGGIL RUMUS</t>
  </si>
  <si>
    <t>Nama Obat</t>
  </si>
  <si>
    <t>Kode Obat</t>
  </si>
  <si>
    <t>Lokasi Gudang</t>
  </si>
  <si>
    <t>Salbutamol</t>
  </si>
  <si>
    <t>4410-DRG</t>
  </si>
  <si>
    <t>Gudang A</t>
  </si>
  <si>
    <t>Metformin</t>
  </si>
  <si>
    <t>4404-DRG</t>
  </si>
  <si>
    <t>Amlodipine</t>
  </si>
  <si>
    <t>4405-DRG</t>
  </si>
  <si>
    <t>Omeprazole</t>
  </si>
  <si>
    <t>4407-DRG</t>
  </si>
  <si>
    <t>Gudang B</t>
  </si>
  <si>
    <t>Captopril</t>
  </si>
  <si>
    <t>4408-DRG</t>
  </si>
  <si>
    <t>Simvastatin</t>
  </si>
  <si>
    <t>4406-DRG</t>
  </si>
  <si>
    <t>Ibuprofen</t>
  </si>
  <si>
    <t>4403-DRG</t>
  </si>
  <si>
    <t>Paracetamol</t>
  </si>
  <si>
    <t>4401-DRG</t>
  </si>
  <si>
    <t>Amoxicillin</t>
  </si>
  <si>
    <t>4402-DRG</t>
  </si>
  <si>
    <t>Cetirizine</t>
  </si>
  <si>
    <t>4409-DRG</t>
  </si>
  <si>
    <t>Latihan ini sangat penting untuk dikuasai terlebih dahulu, sebelum kamu mempelajari rumus logika excel.</t>
  </si>
  <si>
    <t>KLIK DISINI UNTUK LANJUT LEVEL 2</t>
  </si>
  <si>
    <t>Pemanasan – Biasakan Pakai Rumus Dasar</t>
  </si>
  <si>
    <t>Kamu akan menyelesaikan beberapa tantangan dasar Excel. Gunakan rumus yang tepat untuk menjawab setiap pertanyaan.</t>
  </si>
  <si>
    <t>ATURAN MAIN</t>
  </si>
  <si>
    <r>
      <t>2. Isi setiap jawaban menggunakan rumus Excel.</t>
    </r>
    <r>
      <rPr>
        <sz val="11"/>
        <color theme="1"/>
        <rFont val="Calibri"/>
        <family val="2"/>
        <scheme val="minor"/>
      </rPr>
      <t xml:space="preserve"> Jawaban manual tidak akan lolos pengecekan.</t>
    </r>
  </si>
  <si>
    <t>Hitung total seluruh nilai pada kolom “Quantity”</t>
  </si>
  <si>
    <t>Hitung total seluruh nilai pada kolom “Harga”</t>
  </si>
  <si>
    <t>Ada berapa sel di kolom “Quantity” yang berisi angka?</t>
  </si>
  <si>
    <t>Ada berapa sel di kolom “Harga” yang berisi angka?</t>
  </si>
  <si>
    <t>Ada berapa sel di kolom “Lokasi Gudang” yang terisi?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</si>
  <si>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Perhatikan tabel data di sebelah kiri. </t>
    </r>
    <r>
      <rPr>
        <b/>
        <sz val="11"/>
        <color theme="1"/>
        <rFont val="Calibri"/>
        <family val="2"/>
        <scheme val="minor"/>
      </rPr>
      <t>Semua jawaban harus diambil dari tabel tersebut.</t>
    </r>
  </si>
  <si>
    <t>TABEL DATA</t>
  </si>
  <si>
    <r>
      <t>Tujuan:</t>
    </r>
    <r>
      <rPr>
        <sz val="11"/>
        <color theme="9" tint="-0.499984740745262"/>
        <rFont val="Calibri"/>
        <family val="2"/>
        <scheme val="minor"/>
      </rPr>
      <t xml:space="preserve"> Melatih ketelitian dalam menyusun rumus dan memahami penggunaan referensi sel pada perhitungan data.</t>
    </r>
  </si>
  <si>
    <t>ATURAN :</t>
  </si>
  <si>
    <t>2. Isi kolom "Total + Ongkir". Ambil Total lalu tambah dengan ongkir yang ada di atas tabel.
(Ongkirnya cuma satu, dipakai buat semua baris)</t>
  </si>
  <si>
    <t>3. Kalau rumusnya benar, harusnya bisa di drag kebawah dan berjalan tanpa error</t>
  </si>
  <si>
    <t>4. Di baris paling bawah, jumlahkan semua total pakai rumus SUM</t>
  </si>
  <si>
    <t>5. Ada cek otomatis yang akan menilai jawabanmu</t>
  </si>
  <si>
    <t>ONGKIR</t>
  </si>
  <si>
    <t>Total (Qty*Harga)</t>
  </si>
  <si>
    <t>Total + Ongkir</t>
  </si>
  <si>
    <t>Kolom Total (Qty*Harga)</t>
  </si>
  <si>
    <t>Kolom Total + Ongkir</t>
  </si>
  <si>
    <t>5010-DRG</t>
  </si>
  <si>
    <t>5005-DRG</t>
  </si>
  <si>
    <t>5006-DRG</t>
  </si>
  <si>
    <t>5003-DRG</t>
  </si>
  <si>
    <t>5008-DRG</t>
  </si>
  <si>
    <t>5002-DRG</t>
  </si>
  <si>
    <t>5009-DRG</t>
  </si>
  <si>
    <t>5007-DRG</t>
  </si>
  <si>
    <t>5001-DRG</t>
  </si>
  <si>
    <t>5004-DRG</t>
  </si>
  <si>
    <t>BPJS (%)</t>
  </si>
  <si>
    <t>Pajak (%)</t>
  </si>
  <si>
    <t>NAMA KARYAWAN</t>
  </si>
  <si>
    <t>GAJI POKOK</t>
  </si>
  <si>
    <t>LEMBUR</t>
  </si>
  <si>
    <t>POTONGAN BPJS</t>
  </si>
  <si>
    <t>PAJAK</t>
  </si>
  <si>
    <t>GAJI BERSIH</t>
  </si>
  <si>
    <t>Andi Pratama</t>
  </si>
  <si>
    <t>Budi Santoso</t>
  </si>
  <si>
    <t>Citra Lestari</t>
  </si>
  <si>
    <t>Deni Kurniawan</t>
  </si>
  <si>
    <t>Eka Putri</t>
  </si>
  <si>
    <t>Fajar Nugroho</t>
  </si>
  <si>
    <t>Gina Marlina</t>
  </si>
  <si>
    <t>Hadi Saputra</t>
  </si>
  <si>
    <t>Intan Permata</t>
  </si>
  <si>
    <t>Joko Widodo</t>
  </si>
  <si>
    <t>Kurnia Sari</t>
  </si>
  <si>
    <t>Lestari Ayu</t>
  </si>
  <si>
    <t>M. Rizky Ramadhan</t>
  </si>
  <si>
    <t>Nanda Prameswari</t>
  </si>
  <si>
    <t>Oka Mahendra</t>
  </si>
  <si>
    <t>Putra Wijaya</t>
  </si>
  <si>
    <t>Qori Aulia</t>
  </si>
  <si>
    <t>Rani Oktaviani</t>
  </si>
  <si>
    <t>Satria Adi Putra</t>
  </si>
  <si>
    <t>Tika Puspitasari</t>
  </si>
  <si>
    <t>Udin Syahputra</t>
  </si>
  <si>
    <t>Vina Anggraini</t>
  </si>
  <si>
    <t>Wahyu Setiawan</t>
  </si>
  <si>
    <t>Yani Kurniasih</t>
  </si>
  <si>
    <t>Zaki Fadillah</t>
  </si>
  <si>
    <t>Ahmad Fauzan</t>
  </si>
  <si>
    <t>Bella Safitri</t>
  </si>
  <si>
    <t>Cahyo Prabowo</t>
  </si>
  <si>
    <t>Dewi Kartika</t>
  </si>
  <si>
    <t>Eko Susanto</t>
  </si>
  <si>
    <t>Farah Nabila</t>
  </si>
  <si>
    <t>Galang Ramadhan</t>
  </si>
  <si>
    <t>Hilda Apriyani</t>
  </si>
  <si>
    <t>Ilham Maulana</t>
  </si>
  <si>
    <t>Jihan Azzahra</t>
  </si>
  <si>
    <t>Kevin Prakoso</t>
  </si>
  <si>
    <t>Luki Hermawan</t>
  </si>
  <si>
    <t>Mega Lestari</t>
  </si>
  <si>
    <t>Niko Firmansyah</t>
  </si>
  <si>
    <t>Ovi Rahmadani</t>
  </si>
  <si>
    <t>Prima Aditya</t>
  </si>
  <si>
    <t>Riko Saputro</t>
  </si>
  <si>
    <t>Salsabila Putri</t>
  </si>
  <si>
    <t>Taufik Hidayat</t>
  </si>
  <si>
    <t>Umi Khairunnisa</t>
  </si>
  <si>
    <t>Vicky Pratama</t>
  </si>
  <si>
    <t>Wulan Sari</t>
  </si>
  <si>
    <t>Yogi Prasetyo</t>
  </si>
  <si>
    <t>Zahra Amirah</t>
  </si>
  <si>
    <t>Zulfikar Hakim</t>
  </si>
  <si>
    <r>
      <t xml:space="preserve">Fokus utama di level ini adalah </t>
    </r>
    <r>
      <rPr>
        <b/>
        <sz val="11"/>
        <color theme="1"/>
        <rFont val="Calibri"/>
        <family val="2"/>
        <scheme val="minor"/>
      </rPr>
      <t>ketelitian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konsistensi rumus</t>
    </r>
    <r>
      <rPr>
        <sz val="11"/>
        <color theme="1"/>
        <rFont val="Calibri"/>
        <family val="2"/>
        <scheme val="minor"/>
      </rPr>
      <t xml:space="preserve">, dan </t>
    </r>
    <r>
      <rPr>
        <b/>
        <sz val="11"/>
        <color theme="1"/>
        <rFont val="Calibri"/>
        <family val="2"/>
        <scheme val="minor"/>
      </rPr>
      <t>pemahaman perkalian persentase</t>
    </r>
    <r>
      <rPr>
        <sz val="11"/>
        <color theme="1"/>
        <rFont val="Calibri"/>
        <family val="2"/>
        <scheme val="minor"/>
      </rPr>
      <t>.</t>
    </r>
  </si>
  <si>
    <t>TOTAL GAJI</t>
  </si>
  <si>
    <t>Hitung gaji karyawan dari awal sampai gaji bersih dengan rumus yang tepat.</t>
  </si>
  <si>
    <r>
      <t>5.</t>
    </r>
    <r>
      <rPr>
        <sz val="11"/>
        <color theme="1"/>
        <rFont val="Calibri"/>
        <family val="2"/>
        <scheme val="minor"/>
      </rPr>
      <t xml:space="preserve"> Pastikan semua rumus </t>
    </r>
    <r>
      <rPr>
        <b/>
        <sz val="11"/>
        <color theme="1"/>
        <rFont val="Calibri"/>
        <family val="2"/>
        <scheme val="minor"/>
      </rPr>
      <t>bisa di-drag ke bawah</t>
    </r>
    <r>
      <rPr>
        <sz val="11"/>
        <color theme="1"/>
        <rFont val="Calibri"/>
        <family val="2"/>
        <scheme val="minor"/>
      </rPr>
      <t xml:space="preserve"> dan hasilnya tetap benar tanpa error.</t>
    </r>
  </si>
  <si>
    <t>KETERANGAN :</t>
  </si>
  <si>
    <r>
      <t>4.</t>
    </r>
    <r>
      <rPr>
        <sz val="11"/>
        <color theme="1"/>
        <rFont val="Calibri"/>
        <family val="2"/>
        <scheme val="minor"/>
      </rPr>
      <t xml:space="preserve"> Isi kolom </t>
    </r>
    <r>
      <rPr>
        <b/>
        <sz val="11"/>
        <color theme="1"/>
        <rFont val="Calibri"/>
        <family val="2"/>
        <scheme val="minor"/>
      </rPr>
      <t>“GAJI BERSIH”</t>
    </r>
    <r>
      <rPr>
        <sz val="11"/>
        <color theme="1"/>
        <rFont val="Calibri"/>
        <family val="2"/>
        <scheme val="minor"/>
      </rPr>
      <t xml:space="preserve"> dengan Memakai pengurangan =</t>
    </r>
    <r>
      <rPr>
        <b/>
        <sz val="11"/>
        <color theme="1"/>
        <rFont val="Calibri"/>
        <family val="2"/>
        <scheme val="minor"/>
      </rPr>
      <t>Total Gaji- Potongan BPJS - Pajak</t>
    </r>
    <r>
      <rPr>
        <sz val="11"/>
        <color theme="1"/>
        <rFont val="Calibri"/>
        <family val="2"/>
        <scheme val="minor"/>
      </rPr>
      <t>.</t>
    </r>
  </si>
  <si>
    <r>
      <t xml:space="preserve">1. Isi kolom </t>
    </r>
    <r>
      <rPr>
        <b/>
        <sz val="11"/>
        <color theme="1"/>
        <rFont val="Calibri"/>
        <family val="2"/>
        <scheme val="minor"/>
      </rPr>
      <t>“TOTAL GAJI”</t>
    </r>
    <r>
      <rPr>
        <sz val="11"/>
        <color theme="1"/>
        <rFont val="Calibri"/>
        <family val="2"/>
        <scheme val="minor"/>
      </rPr>
      <t xml:space="preserve"> dengan menghitung =</t>
    </r>
    <r>
      <rPr>
        <b/>
        <sz val="11"/>
        <color theme="1"/>
        <rFont val="Calibri"/>
        <family val="2"/>
        <scheme val="minor"/>
      </rPr>
      <t>Gaji Pokok + Lembur</t>
    </r>
    <r>
      <rPr>
        <sz val="11"/>
        <color theme="1"/>
        <rFont val="Calibri"/>
        <family val="2"/>
        <scheme val="minor"/>
      </rPr>
      <t xml:space="preserve"> pada baris yang sama.</t>
    </r>
  </si>
  <si>
    <r>
      <t xml:space="preserve">2. Isi kolom “POTONGAN BPJS” dengan menghitung </t>
    </r>
    <r>
      <rPr>
        <b/>
        <sz val="11"/>
        <color theme="1"/>
        <rFont val="Calibri"/>
        <family val="2"/>
        <scheme val="minor"/>
      </rPr>
      <t>=Total Gaji × 2%</t>
    </r>
    <r>
      <rPr>
        <sz val="11"/>
        <color theme="1"/>
        <rFont val="Calibri"/>
        <family val="2"/>
        <scheme val="minor"/>
      </rPr>
      <t xml:space="preserve"> (persentase berarti dikalikan).</t>
    </r>
  </si>
  <si>
    <r>
      <t>3.</t>
    </r>
    <r>
      <rPr>
        <sz val="11"/>
        <color theme="1"/>
        <rFont val="Calibri"/>
        <family val="2"/>
        <scheme val="minor"/>
      </rPr>
      <t xml:space="preserve"> Isi kolom </t>
    </r>
    <r>
      <rPr>
        <b/>
        <sz val="11"/>
        <color theme="1"/>
        <rFont val="Calibri"/>
        <family val="2"/>
        <scheme val="minor"/>
      </rPr>
      <t>“PAJAK”</t>
    </r>
    <r>
      <rPr>
        <sz val="11"/>
        <color theme="1"/>
        <rFont val="Calibri"/>
        <family val="2"/>
        <scheme val="minor"/>
      </rPr>
      <t xml:space="preserve"> dengan menghitung =</t>
    </r>
    <r>
      <rPr>
        <b/>
        <sz val="11"/>
        <color theme="1"/>
        <rFont val="Calibri"/>
        <family val="2"/>
        <scheme val="minor"/>
      </rPr>
      <t>Total Gaji × 5%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(persentase berarti dikalikan)</t>
    </r>
    <r>
      <rPr>
        <sz val="11"/>
        <color theme="1"/>
        <rFont val="Calibri"/>
        <family val="2"/>
        <scheme val="minor"/>
      </rPr>
      <t>.</t>
    </r>
  </si>
  <si>
    <t>SELESAIKAN DULU LEVEL 1 UNTUK MEMBUKA LEVEL 2 INI</t>
  </si>
  <si>
    <t>Ambil 6 karakter pertama dari kolom "Kode Obat" di Cell B60</t>
  </si>
  <si>
    <t>SELESAIKAN DULU LEVEL 2 UNTUK MEMBUKA LEVEL 3 INI</t>
  </si>
  <si>
    <t>Ambil 4 karakter pertama dari kolom "Kode Obat" di Cell B13</t>
  </si>
  <si>
    <t>Misi Level 3</t>
  </si>
  <si>
    <t>Misi Level 2</t>
  </si>
  <si>
    <t>MISI LEVEL 1 :</t>
  </si>
  <si>
    <t>STATUS NILAI KAMU :</t>
  </si>
  <si>
    <t>KOLOM TOTAL GAJI :</t>
  </si>
  <si>
    <t>KOLOM POTONGAN BPJS :</t>
  </si>
  <si>
    <t>KOLOM PAJAK :</t>
  </si>
  <si>
    <t>KOLOM GAJI BERSIH :</t>
  </si>
  <si>
    <t>STATUS LEVEL SAAT INI :</t>
  </si>
  <si>
    <r>
      <t xml:space="preserve">3. Setiap jawaban akan dicek otomatis. </t>
    </r>
    <r>
      <rPr>
        <sz val="11"/>
        <color theme="1"/>
        <rFont val="Calibri"/>
        <family val="2"/>
        <scheme val="minor"/>
      </rPr>
      <t>Jika benar, status di kolom "cek otomatis" akan berubah.</t>
    </r>
  </si>
  <si>
    <t>TABEL PERTANYAAN &amp; JAWABAN</t>
  </si>
  <si>
    <t>Nama</t>
  </si>
  <si>
    <t>MISI LEVEL 4</t>
  </si>
  <si>
    <t>A. HITUNG PPh 21 (GAJI KARYAWAN)</t>
  </si>
  <si>
    <t>PPh 21</t>
  </si>
  <si>
    <t>Andi</t>
  </si>
  <si>
    <t>Citra</t>
  </si>
  <si>
    <t>B. HITUNG PPh 23 (JASA)</t>
  </si>
  <si>
    <t>Nama Vendor</t>
  </si>
  <si>
    <t>Nilai Jasa</t>
  </si>
  <si>
    <t>PPh 23</t>
  </si>
  <si>
    <t>PT Maju</t>
  </si>
  <si>
    <t>PT Jaya</t>
  </si>
  <si>
    <t>CV Karya</t>
  </si>
  <si>
    <t>PT Sejahtera</t>
  </si>
  <si>
    <t>CV Makmur</t>
  </si>
  <si>
    <t>Nilai Transaksi</t>
  </si>
  <si>
    <t>Pajak</t>
  </si>
  <si>
    <t>PPh 22 Impor</t>
  </si>
  <si>
    <t>PPh Final UMKM</t>
  </si>
  <si>
    <t>Jenis Pajak</t>
  </si>
  <si>
    <t>PPh 21 (Lapisan 1)</t>
  </si>
  <si>
    <t>PPh 23 Jasa</t>
  </si>
  <si>
    <t>PPh Final Sewa</t>
  </si>
  <si>
    <t>PPh 26 LN</t>
  </si>
  <si>
    <t>PPh 15 Usaha Tertentu</t>
  </si>
  <si>
    <t>PPh Final Hadiah</t>
  </si>
  <si>
    <t>C. PAJAK LAINNYA</t>
  </si>
  <si>
    <t>Total</t>
  </si>
  <si>
    <t>William</t>
  </si>
  <si>
    <t>Yura</t>
  </si>
  <si>
    <t>CONTOH</t>
  </si>
  <si>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. Semua kolom </t>
    </r>
    <r>
      <rPr>
        <b/>
        <sz val="11"/>
        <color theme="1"/>
        <rFont val="Calibri"/>
        <family val="2"/>
        <scheme val="minor"/>
      </rPr>
      <t>PPh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harus diisi </t>
    </r>
    <r>
      <rPr>
        <b/>
        <sz val="11"/>
        <color theme="1"/>
        <rFont val="Calibri"/>
        <family val="2"/>
        <scheme val="minor"/>
      </rPr>
      <t>menggunakan rumus</t>
    </r>
    <r>
      <rPr>
        <sz val="11"/>
        <color theme="1"/>
        <rFont val="Calibri"/>
        <family val="2"/>
        <scheme val="minor"/>
      </rPr>
      <t>.</t>
    </r>
  </si>
  <si>
    <t>Rani</t>
  </si>
  <si>
    <r>
      <t xml:space="preserve">Kamu akan berlatih menyusun rumus dengan </t>
    </r>
    <r>
      <rPr>
        <b/>
        <sz val="10"/>
        <color theme="1"/>
        <rFont val="Calibri"/>
        <family val="2"/>
        <scheme val="minor"/>
      </rPr>
      <t>mengambil data dari sheet lain</t>
    </r>
    <r>
      <rPr>
        <sz val="10"/>
        <color theme="1"/>
        <rFont val="Calibri"/>
        <family val="2"/>
        <scheme val="minor"/>
      </rPr>
      <t xml:space="preserve"> dan memastikan rumus tetap konsisten saat digunakan berulang.</t>
    </r>
  </si>
  <si>
    <r>
      <t xml:space="preserve">Rumus kolom PPH </t>
    </r>
    <r>
      <rPr>
        <b/>
        <sz val="11"/>
        <color theme="1"/>
        <rFont val="Calibri"/>
        <family val="2"/>
        <scheme val="minor"/>
      </rPr>
      <t>=Gaji Bruto*Tarif pajak</t>
    </r>
    <r>
      <rPr>
        <sz val="11"/>
        <color theme="1"/>
        <rFont val="Calibri"/>
        <family val="2"/>
        <scheme val="minor"/>
      </rPr>
      <t xml:space="preserve"> (yg ada di sheet DATA LEVEL 4)</t>
    </r>
  </si>
  <si>
    <t>Tarif Pajak</t>
  </si>
  <si>
    <t>Cek untuk kolom PPh 21</t>
  </si>
  <si>
    <t>Cek untuk kolom Total</t>
  </si>
  <si>
    <t>CEK OTOMATIS :</t>
  </si>
  <si>
    <t>Bagian</t>
  </si>
  <si>
    <t>Nilai Gaji</t>
  </si>
  <si>
    <r>
      <t xml:space="preserve">Rumus kolom Total </t>
    </r>
    <r>
      <rPr>
        <b/>
        <sz val="11"/>
        <color theme="1"/>
        <rFont val="Calibri"/>
        <family val="2"/>
        <scheme val="minor"/>
      </rPr>
      <t>=Nilai-PPh</t>
    </r>
  </si>
  <si>
    <t>DATA 'TARIF PAJAK' UNTUK LEVEL 4</t>
  </si>
  <si>
    <t xml:space="preserve">2. Tarif pajak TIDAK BOLEH ditulis angka langsung. WAJIB diambil dari sheet 'DATA LEVEL 4'! </t>
  </si>
  <si>
    <t>(Ini untuk melatih penggunaan referensi antar-sheet (!)</t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</si>
  <si>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Gunakan tanda $ untuk mengunci sel tarif pajak. Tujuannya agar rumus tetap konsisten saat di-drag ke bawah</t>
    </r>
  </si>
  <si>
    <r>
      <t xml:space="preserve">Level ini </t>
    </r>
    <r>
      <rPr>
        <b/>
        <sz val="11"/>
        <color theme="1"/>
        <rFont val="Calibri"/>
        <family val="2"/>
        <scheme val="minor"/>
      </rPr>
      <t>dirancang khusus</t>
    </r>
    <r>
      <rPr>
        <sz val="11"/>
        <color theme="1"/>
        <rFont val="Calibri"/>
        <family val="2"/>
        <scheme val="minor"/>
      </rPr>
      <t xml:space="preserve"> untuk melatih kamu:</t>
    </r>
  </si>
  <si>
    <r>
      <t>Mengambil data dari sheet lain</t>
    </r>
    <r>
      <rPr>
        <sz val="11"/>
        <color theme="1"/>
        <rFont val="Calibri"/>
        <family val="2"/>
        <scheme val="minor"/>
      </rPr>
      <t xml:space="preserve"> menggunakan tanda </t>
    </r>
    <r>
      <rPr>
        <b/>
        <sz val="10"/>
        <color theme="1"/>
        <rFont val="Arial Unicode MS"/>
      </rPr>
      <t>!</t>
    </r>
  </si>
  <si>
    <r>
      <t>Mengunci referensi sel</t>
    </r>
    <r>
      <rPr>
        <sz val="11"/>
        <color theme="1"/>
        <rFont val="Calibri"/>
        <family val="2"/>
        <scheme val="minor"/>
      </rPr>
      <t xml:space="preserve"> dengan tanda </t>
    </r>
    <r>
      <rPr>
        <b/>
        <sz val="10"/>
        <color theme="1"/>
        <rFont val="Arial Unicode MS"/>
      </rPr>
      <t>$</t>
    </r>
    <r>
      <rPr>
        <sz val="11"/>
        <color theme="1"/>
        <rFont val="Calibri"/>
        <family val="2"/>
        <scheme val="minor"/>
      </rPr>
      <t xml:space="preserve"> agar rumus </t>
    </r>
    <r>
      <rPr>
        <b/>
        <sz val="11"/>
        <color theme="1"/>
        <rFont val="Calibri"/>
        <family val="2"/>
        <scheme val="minor"/>
      </rPr>
      <t>tetap benar saat di-drag</t>
    </r>
  </si>
  <si>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Gunakan rumus yang </t>
    </r>
    <r>
      <rPr>
        <b/>
        <sz val="11"/>
        <color theme="1"/>
        <rFont val="Calibri"/>
        <family val="2"/>
        <scheme val="minor"/>
      </rPr>
      <t>sederhana, rapi, dan konsisten</t>
    </r>
    <r>
      <rPr>
        <sz val="11"/>
        <color theme="1"/>
        <rFont val="Calibri"/>
        <family val="2"/>
        <scheme val="minor"/>
      </rPr>
      <t>. Level ini menilai konsep, bukan rumus rumit.</t>
    </r>
  </si>
  <si>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Cek hasil jawabanmu di "Cek otomatis" (cell i24)</t>
    </r>
  </si>
  <si>
    <r>
      <t xml:space="preserve">Jika semua </t>
    </r>
    <r>
      <rPr>
        <b/>
        <sz val="11"/>
        <color theme="1"/>
        <rFont val="Calibri"/>
        <family val="2"/>
        <scheme val="minor"/>
      </rPr>
      <t>BETUL</t>
    </r>
    <r>
      <rPr>
        <sz val="11"/>
        <color theme="1"/>
        <rFont val="Calibri"/>
        <family val="2"/>
        <scheme val="minor"/>
      </rPr>
      <t xml:space="preserve"> dan status </t>
    </r>
    <r>
      <rPr>
        <b/>
        <sz val="11"/>
        <color theme="1"/>
        <rFont val="Calibri"/>
        <family val="2"/>
        <scheme val="minor"/>
      </rPr>
      <t>SELESAI</t>
    </r>
    <r>
      <rPr>
        <sz val="11"/>
        <color theme="1"/>
        <rFont val="Calibri"/>
        <family val="2"/>
        <scheme val="minor"/>
      </rPr>
      <t>, berarti rumus sudah benar &amp; konsisten</t>
    </r>
  </si>
  <si>
    <t>SELESAIKAN DULU LEVEL 3 UNTUK MEMBUKA LEVEL 4 INI</t>
  </si>
  <si>
    <r>
      <t xml:space="preserve">1. Isi kolom "Total (Qty*Harga)" . Hitung dari Quantity </t>
    </r>
    <r>
      <rPr>
        <b/>
        <sz val="11"/>
        <color theme="1"/>
        <rFont val="Calibri"/>
        <family val="2"/>
        <scheme val="minor"/>
      </rPr>
      <t>dikalikan</t>
    </r>
    <r>
      <rPr>
        <sz val="11"/>
        <color theme="1"/>
        <rFont val="Calibri"/>
        <family val="2"/>
        <scheme val="minor"/>
      </rPr>
      <t>(*) Harga (baris yang sama)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</si>
</sst>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.0%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1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6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i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6" tint="-0.499984740745262"/>
      <name val="Candara Light"/>
      <family val="2"/>
    </font>
    <font>
      <b/>
      <sz val="14"/>
      <color theme="5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5" tint="-0.249977111117893"/>
      <name val="Comic Sans MS"/>
      <family val="4"/>
    </font>
    <font>
      <b/>
      <i/>
      <sz val="20"/>
      <color theme="0"/>
      <name val="Calibri"/>
      <family val="2"/>
      <scheme val="minor"/>
    </font>
    <font>
      <b/>
      <sz val="14"/>
      <color theme="0"/>
      <name val="Comic Sans MS"/>
      <family val="4"/>
    </font>
    <font>
      <b/>
      <sz val="11"/>
      <color theme="1"/>
      <name val="Comic Sans MS"/>
      <family val="4"/>
    </font>
    <font>
      <sz val="16"/>
      <color theme="5" tint="-0.249977111117893"/>
      <name val="Calibri"/>
      <family val="2"/>
      <scheme val="minor"/>
    </font>
    <font>
      <b/>
      <sz val="9"/>
      <color theme="5" tint="-0.249977111117893"/>
      <name val="Comic Sans MS"/>
      <family val="4"/>
    </font>
    <font>
      <sz val="11"/>
      <color theme="5" tint="-0.49998474074526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8"/>
      <color theme="1"/>
      <name val="Comic Sans MS"/>
      <family val="4"/>
    </font>
    <font>
      <sz val="11"/>
      <color theme="1"/>
      <name val="Comic Sans MS"/>
      <family val="4"/>
    </font>
    <font>
      <b/>
      <sz val="10"/>
      <color theme="9" tint="-0.249977111117893"/>
      <name val="Comic Sans MS"/>
      <family val="4"/>
    </font>
    <font>
      <b/>
      <u/>
      <sz val="11"/>
      <color theme="9" tint="-0.249977111117893"/>
      <name val="Comic Sans MS"/>
      <family val="4"/>
    </font>
    <font>
      <b/>
      <sz val="11"/>
      <color theme="0"/>
      <name val="Comic Sans MS"/>
      <family val="4"/>
    </font>
    <font>
      <b/>
      <sz val="9"/>
      <color theme="9" tint="-0.249977111117893"/>
      <name val="Comic Sans MS"/>
      <family val="4"/>
    </font>
    <font>
      <b/>
      <sz val="16"/>
      <color theme="1"/>
      <name val="Comic Sans MS"/>
      <family val="4"/>
    </font>
    <font>
      <b/>
      <sz val="10"/>
      <color theme="5" tint="-0.249977111117893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sz val="14"/>
      <color theme="1"/>
      <name val="Comic Sans MS"/>
      <family val="4"/>
    </font>
    <font>
      <b/>
      <sz val="10"/>
      <color theme="1"/>
      <name val="Arial Unicode MS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9" tint="-0.499984740745262"/>
      <name val="Arial"/>
      <family val="2"/>
    </font>
    <font>
      <sz val="11"/>
      <color theme="9" tint="-0.249977111117893"/>
      <name val="Arial"/>
      <family val="2"/>
    </font>
    <font>
      <sz val="11"/>
      <color theme="9" tint="-0.249977111117893"/>
      <name val="Calibri"/>
      <family val="2"/>
      <scheme val="minor"/>
    </font>
    <font>
      <sz val="11"/>
      <color theme="5" tint="-0.499984740745262"/>
      <name val="Arial"/>
      <family val="2"/>
    </font>
    <font>
      <sz val="18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CF0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1F7ED"/>
        <bgColor indexed="64"/>
      </patternFill>
    </fill>
  </fills>
  <borders count="82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double">
        <color theme="5"/>
      </left>
      <right/>
      <top style="double">
        <color theme="5"/>
      </top>
      <bottom style="double">
        <color theme="5"/>
      </bottom>
      <diagonal/>
    </border>
    <border>
      <left/>
      <right/>
      <top style="double">
        <color theme="5"/>
      </top>
      <bottom style="double">
        <color theme="5"/>
      </bottom>
      <diagonal/>
    </border>
    <border>
      <left/>
      <right style="double">
        <color theme="5"/>
      </right>
      <top style="double">
        <color theme="5"/>
      </top>
      <bottom style="double">
        <color theme="5"/>
      </bottom>
      <diagonal/>
    </border>
    <border>
      <left style="double">
        <color theme="4" tint="-0.249977111117893"/>
      </left>
      <right style="double">
        <color theme="4" tint="-0.249977111117893"/>
      </right>
      <top style="double">
        <color theme="4" tint="-0.249977111117893"/>
      </top>
      <bottom style="double">
        <color theme="4" tint="-0.249977111117893"/>
      </bottom>
      <diagonal/>
    </border>
    <border>
      <left style="slantDashDot">
        <color theme="5"/>
      </left>
      <right style="slantDashDot">
        <color theme="5"/>
      </right>
      <top style="slantDashDot">
        <color theme="5"/>
      </top>
      <bottom style="slantDashDot">
        <color theme="5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 style="thick">
        <color theme="2" tint="-0.499984740745262"/>
      </left>
      <right style="thick">
        <color theme="0"/>
      </right>
      <top style="thick">
        <color theme="2" tint="-0.499984740745262"/>
      </top>
      <bottom/>
      <diagonal/>
    </border>
    <border>
      <left style="thick">
        <color theme="2" tint="-0.499984740745262"/>
      </left>
      <right style="thick">
        <color theme="0"/>
      </right>
      <top/>
      <bottom/>
      <diagonal/>
    </border>
    <border>
      <left style="thick">
        <color theme="2" tint="-0.499984740745262"/>
      </left>
      <right style="thick">
        <color theme="0"/>
      </right>
      <top/>
      <bottom style="thick">
        <color theme="0"/>
      </bottom>
      <diagonal/>
    </border>
    <border>
      <left style="thick">
        <color theme="2" tint="-0.499984740745262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2" tint="-0.499984740745262"/>
      </right>
      <top style="thick">
        <color theme="0"/>
      </top>
      <bottom/>
      <diagonal/>
    </border>
    <border>
      <left style="thick">
        <color theme="0"/>
      </left>
      <right style="thick">
        <color theme="2" tint="-0.499984740745262"/>
      </right>
      <top/>
      <bottom/>
      <diagonal/>
    </border>
    <border>
      <left style="thick">
        <color theme="0"/>
      </left>
      <right style="thick">
        <color theme="2" tint="-0.499984740745262"/>
      </right>
      <top/>
      <bottom style="thick">
        <color theme="0"/>
      </bottom>
      <diagonal/>
    </border>
    <border>
      <left style="slantDashDot">
        <color theme="9" tint="-0.249977111117893"/>
      </left>
      <right style="slantDashDot">
        <color theme="9" tint="-0.249977111117893"/>
      </right>
      <top style="slantDashDot">
        <color theme="9" tint="-0.249977111117893"/>
      </top>
      <bottom style="slantDashDot">
        <color theme="9" tint="-0.249977111117893"/>
      </bottom>
      <diagonal/>
    </border>
    <border>
      <left style="slantDashDot">
        <color rgb="FFFFC000"/>
      </left>
      <right/>
      <top style="slantDashDot">
        <color rgb="FFFFC000"/>
      </top>
      <bottom style="slantDashDot">
        <color rgb="FFFFC000"/>
      </bottom>
      <diagonal/>
    </border>
    <border>
      <left/>
      <right/>
      <top style="slantDashDot">
        <color rgb="FFFFC000"/>
      </top>
      <bottom style="slantDashDot">
        <color rgb="FFFFC000"/>
      </bottom>
      <diagonal/>
    </border>
    <border>
      <left/>
      <right style="slantDashDot">
        <color rgb="FFFFC000"/>
      </right>
      <top style="slantDashDot">
        <color rgb="FFFFC000"/>
      </top>
      <bottom style="slantDashDot">
        <color rgb="FFFFC000"/>
      </bottom>
      <diagonal/>
    </border>
    <border>
      <left/>
      <right/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/>
      <top/>
      <bottom style="thick">
        <color theme="0"/>
      </bottom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thin">
        <color theme="9" tint="-0.249977111117893"/>
      </left>
      <right/>
      <top/>
      <bottom style="thin">
        <color theme="9" tint="-0.249977111117893"/>
      </bottom>
      <diagonal/>
    </border>
    <border>
      <left/>
      <right/>
      <top/>
      <bottom style="thin">
        <color theme="9" tint="-0.249977111117893"/>
      </bottom>
      <diagonal/>
    </border>
    <border>
      <left style="slantDashDot">
        <color theme="9" tint="0.39997558519241921"/>
      </left>
      <right style="slantDashDot">
        <color theme="9" tint="0.39997558519241921"/>
      </right>
      <top style="slantDashDot">
        <color theme="9" tint="0.39997558519241921"/>
      </top>
      <bottom style="slantDashDot">
        <color theme="9" tint="0.39997558519241921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9" tint="-0.499984740745262"/>
      </left>
      <right style="medium">
        <color theme="9" tint="-0.499984740745262"/>
      </right>
      <top/>
      <bottom style="medium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theme="9" tint="-0.249977111117893"/>
      </left>
      <right/>
      <top/>
      <bottom/>
      <diagonal/>
    </border>
    <border>
      <left style="slantDashDot">
        <color rgb="FFFFC000"/>
      </left>
      <right style="slantDashDot">
        <color rgb="FFFFC000"/>
      </right>
      <top style="slantDashDot">
        <color rgb="FFFFC000"/>
      </top>
      <bottom style="slantDashDot">
        <color rgb="FFFFC000"/>
      </bottom>
      <diagonal/>
    </border>
    <border>
      <left/>
      <right style="slantDashDot">
        <color theme="7"/>
      </right>
      <top style="slantDashDot">
        <color theme="7"/>
      </top>
      <bottom/>
      <diagonal/>
    </border>
    <border>
      <left style="slantDashDot">
        <color theme="9" tint="-0.249977111117893"/>
      </left>
      <right/>
      <top style="slantDashDot">
        <color theme="9" tint="-0.249977111117893"/>
      </top>
      <bottom style="slantDashDot">
        <color theme="9" tint="-0.249977111117893"/>
      </bottom>
      <diagonal/>
    </border>
    <border>
      <left style="slantDashDot">
        <color theme="5" tint="-0.249977111117893"/>
      </left>
      <right style="slantDashDot">
        <color theme="5" tint="-0.249977111117893"/>
      </right>
      <top style="slantDashDot">
        <color theme="5" tint="-0.249977111117893"/>
      </top>
      <bottom style="slantDashDot">
        <color theme="5" tint="-0.24997711111789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slantDashDot">
        <color theme="9" tint="-0.249977111117893"/>
      </left>
      <right/>
      <top style="slantDashDot">
        <color theme="9" tint="-0.249977111117893"/>
      </top>
      <bottom/>
      <diagonal/>
    </border>
    <border>
      <left/>
      <right style="slantDashDot">
        <color theme="9" tint="-0.249977111117893"/>
      </right>
      <top style="slantDashDot">
        <color theme="9" tint="-0.249977111117893"/>
      </top>
      <bottom/>
      <diagonal/>
    </border>
    <border>
      <left/>
      <right/>
      <top style="slantDashDot">
        <color theme="9" tint="-0.249977111117893"/>
      </top>
      <bottom/>
      <diagonal/>
    </border>
    <border>
      <left style="slantDashDot">
        <color theme="9" tint="-0.249977111117893"/>
      </left>
      <right style="slantDashDot">
        <color theme="9" tint="-0.249977111117893"/>
      </right>
      <top style="slantDashDot">
        <color theme="9" tint="-0.249977111117893"/>
      </top>
      <bottom/>
      <diagonal/>
    </border>
    <border>
      <left/>
      <right/>
      <top/>
      <bottom style="double">
        <color indexed="64"/>
      </bottom>
      <diagonal/>
    </border>
    <border>
      <left style="slantDashDot">
        <color theme="9" tint="-0.249977111117893"/>
      </left>
      <right style="slantDashDot">
        <color theme="9" tint="-0.249977111117893"/>
      </right>
      <top/>
      <bottom/>
      <diagonal/>
    </border>
    <border>
      <left/>
      <right/>
      <top style="slantDashDot">
        <color theme="9" tint="-0.249977111117893"/>
      </top>
      <bottom style="slantDashDot">
        <color theme="9" tint="-0.249977111117893"/>
      </bottom>
      <diagonal/>
    </border>
    <border>
      <left/>
      <right style="slantDashDot">
        <color theme="9" tint="-0.249977111117893"/>
      </right>
      <top style="slantDashDot">
        <color theme="9" tint="-0.249977111117893"/>
      </top>
      <bottom style="slantDashDot">
        <color theme="9" tint="-0.249977111117893"/>
      </bottom>
      <diagonal/>
    </border>
    <border>
      <left style="slantDashDot">
        <color theme="9" tint="-0.249977111117893"/>
      </left>
      <right style="slantDashDot">
        <color theme="7" tint="0.39997558519241921"/>
      </right>
      <top style="slantDashDot">
        <color theme="9" tint="-0.249977111117893"/>
      </top>
      <bottom style="slantDashDot">
        <color theme="9" tint="-0.249977111117893"/>
      </bottom>
      <diagonal/>
    </border>
    <border>
      <left style="slantDashDot">
        <color theme="7" tint="0.39997558519241921"/>
      </left>
      <right style="slantDashDot">
        <color theme="7" tint="0.39997558519241921"/>
      </right>
      <top style="slantDashDot">
        <color theme="9" tint="-0.249977111117893"/>
      </top>
      <bottom style="slantDashDot">
        <color theme="9" tint="-0.249977111117893"/>
      </bottom>
      <diagonal/>
    </border>
    <border>
      <left style="slantDashDot">
        <color theme="7" tint="0.39997558519241921"/>
      </left>
      <right style="slantDashDot">
        <color theme="9" tint="-0.249977111117893"/>
      </right>
      <top style="slantDashDot">
        <color theme="9" tint="-0.249977111117893"/>
      </top>
      <bottom style="slantDashDot">
        <color theme="9" tint="-0.249977111117893"/>
      </bottom>
      <diagonal/>
    </border>
    <border>
      <left style="slantDashDot">
        <color theme="9" tint="-0.249977111117893"/>
      </left>
      <right/>
      <top/>
      <bottom/>
      <diagonal/>
    </border>
    <border>
      <left/>
      <right style="slantDashDot">
        <color theme="9" tint="-0.249977111117893"/>
      </right>
      <top/>
      <bottom/>
      <diagonal/>
    </border>
    <border>
      <left style="slantDashDot">
        <color theme="9" tint="-0.249977111117893"/>
      </left>
      <right/>
      <top/>
      <bottom style="slantDashDot">
        <color theme="9" tint="-0.249977111117893"/>
      </bottom>
      <diagonal/>
    </border>
    <border>
      <left/>
      <right/>
      <top/>
      <bottom style="slantDashDot">
        <color theme="9" tint="-0.249977111117893"/>
      </bottom>
      <diagonal/>
    </border>
    <border>
      <left/>
      <right style="slantDashDot">
        <color theme="9" tint="-0.249977111117893"/>
      </right>
      <top/>
      <bottom style="slantDashDot">
        <color theme="9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slantDashDot">
        <color theme="9" tint="-0.249977111117893"/>
      </left>
      <right style="slantDashDot">
        <color theme="5" tint="-0.249977111117893"/>
      </right>
      <top style="slantDashDot">
        <color theme="9" tint="-0.249977111117893"/>
      </top>
      <bottom style="slantDashDot">
        <color theme="9" tint="-0.249977111117893"/>
      </bottom>
      <diagonal/>
    </border>
    <border>
      <left style="slantDashDot">
        <color theme="5" tint="-0.249977111117893"/>
      </left>
      <right/>
      <top style="slantDashDot">
        <color theme="5" tint="-0.249977111117893"/>
      </top>
      <bottom style="slantDashDot">
        <color theme="5" tint="-0.249977111117893"/>
      </bottom>
      <diagonal/>
    </border>
    <border>
      <left style="slantDashDot">
        <color theme="7"/>
      </left>
      <right style="slantDashDot">
        <color theme="7"/>
      </right>
      <top style="slantDashDot">
        <color theme="7"/>
      </top>
      <bottom/>
      <diagonal/>
    </border>
    <border>
      <left style="slantDashDot">
        <color rgb="FFFFC000"/>
      </left>
      <right/>
      <top style="slantDashDot">
        <color rgb="FFFFC000"/>
      </top>
      <bottom/>
      <diagonal/>
    </border>
    <border>
      <left/>
      <right style="slantDashDot">
        <color rgb="FFFFC000"/>
      </right>
      <top style="slantDashDot">
        <color rgb="FFFFC000"/>
      </top>
      <bottom/>
      <diagonal/>
    </border>
    <border>
      <left style="slantDashDot">
        <color rgb="FFFFC000"/>
      </left>
      <right/>
      <top/>
      <bottom/>
      <diagonal/>
    </border>
    <border>
      <left/>
      <right style="slantDashDot">
        <color rgb="FFFFC000"/>
      </right>
      <top/>
      <bottom/>
      <diagonal/>
    </border>
    <border>
      <left style="slantDashDot">
        <color rgb="FFFFC000"/>
      </left>
      <right/>
      <top/>
      <bottom style="slantDashDot">
        <color rgb="FFFFC000"/>
      </bottom>
      <diagonal/>
    </border>
    <border>
      <left/>
      <right style="slantDashDot">
        <color rgb="FFFFC000"/>
      </right>
      <top/>
      <bottom style="slantDashDot">
        <color rgb="FFFFC000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28">
    <xf numFmtId="0" fontId="0" fillId="0" borderId="0" xfId="0"/>
    <xf numFmtId="0" fontId="3" fillId="0" borderId="0" xfId="0" applyFont="1"/>
    <xf numFmtId="41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2" applyFont="1"/>
    <xf numFmtId="0" fontId="9" fillId="0" borderId="0" xfId="0" applyFont="1"/>
    <xf numFmtId="0" fontId="10" fillId="0" borderId="0" xfId="2" applyFont="1"/>
    <xf numFmtId="0" fontId="3" fillId="5" borderId="1" xfId="0" applyFont="1" applyFill="1" applyBorder="1"/>
    <xf numFmtId="0" fontId="0" fillId="5" borderId="4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5" xfId="0" applyFill="1" applyBorder="1"/>
    <xf numFmtId="0" fontId="0" fillId="5" borderId="6" xfId="0" applyFill="1" applyBorder="1"/>
    <xf numFmtId="0" fontId="0" fillId="0" borderId="0" xfId="0" quotePrefix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/>
    </xf>
    <xf numFmtId="0" fontId="4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4" borderId="13" xfId="0" applyFont="1" applyFill="1" applyBorder="1" applyAlignment="1" applyProtection="1">
      <alignment horizontal="center"/>
      <protection locked="0"/>
    </xf>
    <xf numFmtId="0" fontId="3" fillId="4" borderId="13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4" fillId="2" borderId="13" xfId="0" applyFont="1" applyFill="1" applyBorder="1" applyAlignment="1" applyProtection="1">
      <alignment horizontal="center"/>
      <protection hidden="1"/>
    </xf>
    <xf numFmtId="0" fontId="11" fillId="0" borderId="0" xfId="0" applyFont="1" applyAlignment="1">
      <alignment horizontal="center"/>
    </xf>
    <xf numFmtId="0" fontId="13" fillId="3" borderId="11" xfId="0" applyFont="1" applyFill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center" wrapText="1"/>
    </xf>
    <xf numFmtId="41" fontId="0" fillId="0" borderId="29" xfId="1" applyFont="1" applyBorder="1"/>
    <xf numFmtId="0" fontId="0" fillId="0" borderId="30" xfId="0" applyBorder="1"/>
    <xf numFmtId="41" fontId="0" fillId="0" borderId="30" xfId="1" applyFont="1" applyBorder="1"/>
    <xf numFmtId="0" fontId="0" fillId="0" borderId="31" xfId="0" applyBorder="1"/>
    <xf numFmtId="0" fontId="19" fillId="10" borderId="12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0" fillId="0" borderId="0" xfId="1" applyNumberFormat="1" applyFont="1"/>
    <xf numFmtId="0" fontId="3" fillId="11" borderId="0" xfId="0" applyFont="1" applyFill="1"/>
    <xf numFmtId="0" fontId="0" fillId="0" borderId="39" xfId="0" applyBorder="1"/>
    <xf numFmtId="41" fontId="0" fillId="0" borderId="39" xfId="1" applyFont="1" applyBorder="1"/>
    <xf numFmtId="9" fontId="21" fillId="0" borderId="36" xfId="1" applyNumberFormat="1" applyFont="1" applyBorder="1"/>
    <xf numFmtId="0" fontId="0" fillId="12" borderId="40" xfId="0" applyFill="1" applyBorder="1"/>
    <xf numFmtId="41" fontId="0" fillId="12" borderId="40" xfId="1" applyFont="1" applyFill="1" applyBorder="1"/>
    <xf numFmtId="0" fontId="0" fillId="12" borderId="42" xfId="0" applyFill="1" applyBorder="1"/>
    <xf numFmtId="41" fontId="0" fillId="12" borderId="42" xfId="1" applyFont="1" applyFill="1" applyBorder="1"/>
    <xf numFmtId="41" fontId="21" fillId="11" borderId="36" xfId="1" applyFont="1" applyFill="1" applyBorder="1"/>
    <xf numFmtId="0" fontId="20" fillId="0" borderId="0" xfId="0" applyFont="1" applyAlignment="1">
      <alignment vertical="center" wrapText="1"/>
    </xf>
    <xf numFmtId="0" fontId="4" fillId="0" borderId="0" xfId="0" applyFont="1"/>
    <xf numFmtId="41" fontId="0" fillId="0" borderId="0" xfId="1" applyFont="1" applyAlignment="1"/>
    <xf numFmtId="41" fontId="0" fillId="0" borderId="0" xfId="1" applyFont="1" applyAlignment="1">
      <alignment vertical="center"/>
    </xf>
    <xf numFmtId="0" fontId="4" fillId="2" borderId="51" xfId="0" applyFont="1" applyFill="1" applyBorder="1" applyAlignment="1">
      <alignment horizontal="center" vertical="center"/>
    </xf>
    <xf numFmtId="41" fontId="4" fillId="2" borderId="51" xfId="1" applyFont="1" applyFill="1" applyBorder="1" applyAlignment="1">
      <alignment horizontal="center" vertical="center"/>
    </xf>
    <xf numFmtId="0" fontId="0" fillId="0" borderId="52" xfId="0" applyBorder="1"/>
    <xf numFmtId="41" fontId="0" fillId="0" borderId="52" xfId="1" applyFont="1" applyBorder="1"/>
    <xf numFmtId="0" fontId="0" fillId="0" borderId="57" xfId="0" applyBorder="1"/>
    <xf numFmtId="0" fontId="11" fillId="0" borderId="57" xfId="0" applyFont="1" applyBorder="1" applyAlignment="1">
      <alignment horizontal="center"/>
    </xf>
    <xf numFmtId="0" fontId="3" fillId="0" borderId="57" xfId="0" applyFont="1" applyBorder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41" fontId="38" fillId="0" borderId="0" xfId="1" applyFont="1"/>
    <xf numFmtId="41" fontId="0" fillId="9" borderId="12" xfId="1" applyFont="1" applyFill="1" applyBorder="1" applyProtection="1">
      <protection locked="0"/>
    </xf>
    <xf numFmtId="0" fontId="19" fillId="10" borderId="12" xfId="0" applyFont="1" applyFill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20" fillId="0" borderId="0" xfId="0" applyFont="1" applyAlignment="1" applyProtection="1">
      <alignment vertical="center" wrapText="1"/>
      <protection hidden="1"/>
    </xf>
    <xf numFmtId="0" fontId="23" fillId="0" borderId="0" xfId="0" applyFont="1" applyAlignment="1" applyProtection="1">
      <alignment horizontal="left"/>
      <protection hidden="1"/>
    </xf>
    <xf numFmtId="41" fontId="0" fillId="11" borderId="42" xfId="1" applyFont="1" applyFill="1" applyBorder="1" applyProtection="1">
      <protection locked="0"/>
    </xf>
    <xf numFmtId="41" fontId="0" fillId="11" borderId="40" xfId="1" applyFont="1" applyFill="1" applyBorder="1" applyProtection="1">
      <protection locked="0"/>
    </xf>
    <xf numFmtId="41" fontId="0" fillId="0" borderId="0" xfId="1" applyFont="1" applyProtection="1">
      <protection locked="0"/>
    </xf>
    <xf numFmtId="41" fontId="0" fillId="0" borderId="40" xfId="1" applyFont="1" applyBorder="1" applyProtection="1">
      <protection locked="0"/>
    </xf>
    <xf numFmtId="41" fontId="0" fillId="0" borderId="0" xfId="1" applyFont="1" applyProtection="1">
      <protection hidden="1"/>
    </xf>
    <xf numFmtId="9" fontId="0" fillId="0" borderId="0" xfId="3" applyFont="1"/>
    <xf numFmtId="41" fontId="3" fillId="14" borderId="0" xfId="1" applyFont="1" applyFill="1" applyAlignment="1">
      <alignment horizontal="left" indent="1"/>
    </xf>
    <xf numFmtId="41" fontId="3" fillId="0" borderId="0" xfId="1" applyFont="1"/>
    <xf numFmtId="41" fontId="0" fillId="11" borderId="12" xfId="1" applyFont="1" applyFill="1" applyBorder="1"/>
    <xf numFmtId="0" fontId="0" fillId="11" borderId="12" xfId="0" applyFill="1" applyBorder="1"/>
    <xf numFmtId="0" fontId="4" fillId="13" borderId="12" xfId="0" applyFont="1" applyFill="1" applyBorder="1"/>
    <xf numFmtId="41" fontId="4" fillId="13" borderId="12" xfId="1" applyFont="1" applyFill="1" applyBorder="1" applyAlignment="1">
      <alignment horizontal="center"/>
    </xf>
    <xf numFmtId="0" fontId="0" fillId="0" borderId="56" xfId="0" applyBorder="1"/>
    <xf numFmtId="0" fontId="0" fillId="0" borderId="58" xfId="0" applyBorder="1"/>
    <xf numFmtId="41" fontId="0" fillId="0" borderId="49" xfId="1" applyFont="1" applyBorder="1"/>
    <xf numFmtId="9" fontId="0" fillId="0" borderId="59" xfId="3" applyFont="1" applyBorder="1"/>
    <xf numFmtId="41" fontId="0" fillId="0" borderId="59" xfId="1" applyFont="1" applyBorder="1"/>
    <xf numFmtId="0" fontId="0" fillId="0" borderId="59" xfId="0" applyBorder="1"/>
    <xf numFmtId="0" fontId="0" fillId="0" borderId="28" xfId="0" applyBorder="1"/>
    <xf numFmtId="0" fontId="0" fillId="0" borderId="53" xfId="0" applyBorder="1"/>
    <xf numFmtId="0" fontId="0" fillId="0" borderId="55" xfId="0" applyBorder="1"/>
    <xf numFmtId="0" fontId="0" fillId="0" borderId="54" xfId="0" applyBorder="1"/>
    <xf numFmtId="0" fontId="4" fillId="13" borderId="12" xfId="0" applyFont="1" applyFill="1" applyBorder="1" applyAlignment="1">
      <alignment horizontal="center"/>
    </xf>
    <xf numFmtId="9" fontId="0" fillId="11" borderId="12" xfId="3" applyFont="1" applyFill="1" applyBorder="1" applyAlignment="1">
      <alignment horizontal="center"/>
    </xf>
    <xf numFmtId="164" fontId="0" fillId="11" borderId="12" xfId="3" applyNumberFormat="1" applyFont="1" applyFill="1" applyBorder="1" applyAlignment="1">
      <alignment horizontal="center"/>
    </xf>
    <xf numFmtId="0" fontId="0" fillId="0" borderId="0" xfId="0" applyAlignment="1">
      <alignment horizontal="left" indent="2"/>
    </xf>
    <xf numFmtId="0" fontId="2" fillId="15" borderId="12" xfId="0" applyFont="1" applyFill="1" applyBorder="1"/>
    <xf numFmtId="0" fontId="0" fillId="0" borderId="0" xfId="0" applyAlignment="1">
      <alignment horizontal="left"/>
    </xf>
    <xf numFmtId="0" fontId="17" fillId="0" borderId="0" xfId="0" applyFont="1"/>
    <xf numFmtId="41" fontId="0" fillId="0" borderId="0" xfId="1" applyFont="1" applyAlignment="1">
      <alignment horizontal="left" indent="1"/>
    </xf>
    <xf numFmtId="0" fontId="0" fillId="0" borderId="65" xfId="0" applyBorder="1"/>
    <xf numFmtId="41" fontId="0" fillId="0" borderId="67" xfId="1" applyFont="1" applyBorder="1"/>
    <xf numFmtId="9" fontId="0" fillId="0" borderId="67" xfId="3" applyFont="1" applyBorder="1"/>
    <xf numFmtId="0" fontId="0" fillId="0" borderId="68" xfId="0" applyBorder="1"/>
    <xf numFmtId="41" fontId="0" fillId="5" borderId="12" xfId="1" applyFont="1" applyFill="1" applyBorder="1"/>
    <xf numFmtId="41" fontId="47" fillId="0" borderId="0" xfId="1" applyFont="1" applyAlignment="1">
      <alignment horizontal="left" vertical="center"/>
    </xf>
    <xf numFmtId="0" fontId="24" fillId="15" borderId="47" xfId="0" applyFont="1" applyFill="1" applyBorder="1" applyAlignment="1">
      <alignment horizontal="center"/>
    </xf>
    <xf numFmtId="0" fontId="16" fillId="7" borderId="47" xfId="0" applyFont="1" applyFill="1" applyBorder="1" applyAlignment="1">
      <alignment horizontal="center" wrapText="1"/>
    </xf>
    <xf numFmtId="41" fontId="4" fillId="15" borderId="12" xfId="1" applyFont="1" applyFill="1" applyBorder="1" applyAlignment="1" applyProtection="1">
      <alignment horizontal="center" vertical="center"/>
      <protection locked="0"/>
    </xf>
    <xf numFmtId="0" fontId="22" fillId="0" borderId="0" xfId="2" applyFont="1" applyAlignment="1" applyProtection="1">
      <alignment horizontal="center" vertical="center" wrapText="1"/>
      <protection hidden="1"/>
    </xf>
    <xf numFmtId="0" fontId="18" fillId="0" borderId="47" xfId="0" applyFont="1" applyBorder="1" applyAlignment="1" applyProtection="1">
      <alignment horizontal="center" vertical="center" wrapText="1"/>
      <protection hidden="1"/>
    </xf>
    <xf numFmtId="0" fontId="29" fillId="0" borderId="29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29" fillId="0" borderId="31" xfId="0" applyFont="1" applyBorder="1" applyAlignment="1">
      <alignment horizontal="center"/>
    </xf>
    <xf numFmtId="0" fontId="19" fillId="10" borderId="32" xfId="0" applyFont="1" applyFill="1" applyBorder="1" applyAlignment="1" applyProtection="1">
      <alignment horizontal="center" vertical="center" wrapText="1"/>
      <protection hidden="1"/>
    </xf>
    <xf numFmtId="0" fontId="19" fillId="10" borderId="0" xfId="0" applyFont="1" applyFill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 vertical="center" wrapText="1"/>
      <protection hidden="1"/>
    </xf>
    <xf numFmtId="0" fontId="6" fillId="0" borderId="0" xfId="2" applyAlignment="1">
      <alignment horizontal="center"/>
    </xf>
    <xf numFmtId="0" fontId="2" fillId="3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6" borderId="21" xfId="0" applyFill="1" applyBorder="1" applyAlignment="1" applyProtection="1">
      <alignment horizontal="center" vertical="center" wrapText="1"/>
      <protection hidden="1"/>
    </xf>
    <xf numFmtId="0" fontId="0" fillId="6" borderId="22" xfId="0" applyFill="1" applyBorder="1" applyAlignment="1" applyProtection="1">
      <alignment horizontal="center" vertical="center" wrapText="1"/>
      <protection hidden="1"/>
    </xf>
    <xf numFmtId="0" fontId="0" fillId="6" borderId="23" xfId="0" applyFill="1" applyBorder="1" applyAlignment="1" applyProtection="1">
      <alignment horizontal="center" vertical="center" wrapText="1"/>
      <protection hidden="1"/>
    </xf>
    <xf numFmtId="0" fontId="0" fillId="6" borderId="24" xfId="0" applyFill="1" applyBorder="1" applyAlignment="1" applyProtection="1">
      <alignment horizontal="center" vertical="center" wrapText="1"/>
      <protection hidden="1"/>
    </xf>
    <xf numFmtId="0" fontId="3" fillId="6" borderId="25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41" fontId="14" fillId="0" borderId="19" xfId="0" applyNumberFormat="1" applyFont="1" applyBorder="1" applyAlignment="1" applyProtection="1">
      <alignment horizontal="center" vertical="center"/>
      <protection locked="0"/>
    </xf>
    <xf numFmtId="41" fontId="14" fillId="0" borderId="20" xfId="0" applyNumberFormat="1" applyFont="1" applyBorder="1" applyAlignment="1" applyProtection="1">
      <alignment horizontal="center" vertical="center"/>
      <protection locked="0"/>
    </xf>
    <xf numFmtId="41" fontId="14" fillId="0" borderId="17" xfId="0" applyNumberFormat="1" applyFont="1" applyBorder="1" applyAlignment="1" applyProtection="1">
      <alignment horizontal="center" vertical="center"/>
      <protection locked="0"/>
    </xf>
    <xf numFmtId="41" fontId="14" fillId="0" borderId="13" xfId="0" applyNumberFormat="1" applyFont="1" applyBorder="1" applyAlignment="1" applyProtection="1">
      <alignment horizontal="center" vertical="center"/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0" fontId="3" fillId="6" borderId="12" xfId="0" applyFont="1" applyFill="1" applyBorder="1" applyAlignment="1">
      <alignment horizontal="center" vertical="center" wrapText="1"/>
    </xf>
    <xf numFmtId="41" fontId="14" fillId="0" borderId="13" xfId="0" applyNumberFormat="1" applyFont="1" applyBorder="1" applyAlignment="1" applyProtection="1">
      <alignment horizontal="right" vertical="center"/>
      <protection locked="0"/>
    </xf>
    <xf numFmtId="0" fontId="14" fillId="0" borderId="13" xfId="0" applyFont="1" applyBorder="1" applyAlignment="1" applyProtection="1">
      <alignment horizontal="right" vertical="center"/>
      <protection locked="0"/>
    </xf>
    <xf numFmtId="0" fontId="30" fillId="0" borderId="47" xfId="0" applyFont="1" applyBorder="1" applyAlignment="1">
      <alignment horizontal="center" vertical="center"/>
    </xf>
    <xf numFmtId="0" fontId="30" fillId="0" borderId="47" xfId="0" applyFont="1" applyBorder="1" applyAlignment="1" applyProtection="1">
      <alignment horizontal="center" vertical="center"/>
      <protection hidden="1"/>
    </xf>
    <xf numFmtId="0" fontId="34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3" fillId="6" borderId="15" xfId="0" applyFont="1" applyFill="1" applyBorder="1" applyAlignment="1">
      <alignment horizontal="center" vertical="center" wrapText="1"/>
    </xf>
    <xf numFmtId="0" fontId="33" fillId="0" borderId="39" xfId="2" applyFont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 wrapText="1"/>
    </xf>
    <xf numFmtId="41" fontId="14" fillId="0" borderId="13" xfId="1" applyFont="1" applyFill="1" applyBorder="1" applyAlignment="1" applyProtection="1">
      <alignment horizontal="right" vertical="center"/>
      <protection locked="0"/>
    </xf>
    <xf numFmtId="0" fontId="32" fillId="0" borderId="39" xfId="0" applyFont="1" applyBorder="1" applyAlignment="1">
      <alignment horizontal="center" vertical="center"/>
    </xf>
    <xf numFmtId="0" fontId="31" fillId="0" borderId="39" xfId="0" applyFont="1" applyBorder="1" applyAlignment="1" applyProtection="1">
      <alignment horizontal="center" vertical="center"/>
      <protection hidden="1"/>
    </xf>
    <xf numFmtId="0" fontId="36" fillId="11" borderId="28" xfId="0" applyFont="1" applyFill="1" applyBorder="1" applyAlignment="1">
      <alignment horizontal="center"/>
    </xf>
    <xf numFmtId="0" fontId="36" fillId="11" borderId="49" xfId="0" applyFont="1" applyFill="1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1" fillId="0" borderId="40" xfId="0" applyFont="1" applyBorder="1" applyAlignment="1">
      <alignment horizontal="center"/>
    </xf>
    <xf numFmtId="0" fontId="4" fillId="13" borderId="41" xfId="0" applyFont="1" applyFill="1" applyBorder="1" applyAlignment="1">
      <alignment horizontal="center" vertical="center"/>
    </xf>
    <xf numFmtId="0" fontId="4" fillId="13" borderId="41" xfId="0" applyFont="1" applyFill="1" applyBorder="1" applyAlignment="1">
      <alignment horizontal="center" vertical="center" wrapText="1"/>
    </xf>
    <xf numFmtId="41" fontId="26" fillId="0" borderId="76" xfId="1" applyFont="1" applyBorder="1" applyAlignment="1" applyProtection="1">
      <alignment horizontal="center" vertical="center" wrapText="1"/>
      <protection hidden="1"/>
    </xf>
    <xf numFmtId="41" fontId="26" fillId="0" borderId="77" xfId="1" applyFont="1" applyBorder="1" applyAlignment="1" applyProtection="1">
      <alignment horizontal="center" vertical="center" wrapText="1"/>
      <protection hidden="1"/>
    </xf>
    <xf numFmtId="41" fontId="26" fillId="0" borderId="78" xfId="1" applyFont="1" applyBorder="1" applyAlignment="1" applyProtection="1">
      <alignment horizontal="center" vertical="center" wrapText="1"/>
      <protection hidden="1"/>
    </xf>
    <xf numFmtId="41" fontId="26" fillId="0" borderId="79" xfId="1" applyFont="1" applyBorder="1" applyAlignment="1" applyProtection="1">
      <alignment horizontal="center" vertical="center" wrapText="1"/>
      <protection hidden="1"/>
    </xf>
    <xf numFmtId="41" fontId="26" fillId="0" borderId="80" xfId="1" applyFont="1" applyBorder="1" applyAlignment="1" applyProtection="1">
      <alignment horizontal="center" vertical="center" wrapText="1"/>
      <protection hidden="1"/>
    </xf>
    <xf numFmtId="41" fontId="26" fillId="0" borderId="81" xfId="1" applyFont="1" applyBorder="1" applyAlignment="1" applyProtection="1">
      <alignment horizontal="center" vertical="center" wrapText="1"/>
      <protection hidden="1"/>
    </xf>
    <xf numFmtId="0" fontId="0" fillId="11" borderId="28" xfId="0" applyFill="1" applyBorder="1" applyAlignment="1" applyProtection="1">
      <alignment horizontal="center" vertical="center"/>
      <protection hidden="1"/>
    </xf>
    <xf numFmtId="0" fontId="0" fillId="11" borderId="73" xfId="0" applyFill="1" applyBorder="1" applyAlignment="1" applyProtection="1">
      <alignment horizontal="center" vertical="center"/>
      <protection hidden="1"/>
    </xf>
    <xf numFmtId="0" fontId="0" fillId="0" borderId="50" xfId="0" applyBorder="1" applyAlignment="1" applyProtection="1">
      <alignment horizontal="center" vertical="center" wrapText="1"/>
      <protection hidden="1"/>
    </xf>
    <xf numFmtId="0" fontId="0" fillId="0" borderId="74" xfId="0" applyBorder="1" applyAlignment="1" applyProtection="1">
      <alignment horizontal="center" vertical="center" wrapText="1"/>
      <protection hidden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35" fillId="0" borderId="39" xfId="0" applyFont="1" applyBorder="1" applyAlignment="1">
      <alignment horizontal="center"/>
    </xf>
    <xf numFmtId="41" fontId="27" fillId="0" borderId="39" xfId="0" applyNumberFormat="1" applyFont="1" applyBorder="1" applyAlignment="1" applyProtection="1">
      <alignment horizontal="center" vertical="center" wrapText="1"/>
      <protection hidden="1"/>
    </xf>
    <xf numFmtId="41" fontId="37" fillId="0" borderId="48" xfId="1" applyFont="1" applyBorder="1" applyAlignment="1" applyProtection="1">
      <alignment horizontal="center"/>
      <protection hidden="1"/>
    </xf>
    <xf numFmtId="41" fontId="37" fillId="0" borderId="75" xfId="1" applyFont="1" applyBorder="1" applyAlignment="1" applyProtection="1">
      <alignment horizontal="center"/>
      <protection hidden="1"/>
    </xf>
    <xf numFmtId="0" fontId="25" fillId="14" borderId="53" xfId="0" applyFont="1" applyFill="1" applyBorder="1" applyAlignment="1" applyProtection="1">
      <alignment horizontal="left" indent="9"/>
      <protection hidden="1"/>
    </xf>
    <xf numFmtId="0" fontId="25" fillId="14" borderId="55" xfId="0" applyFont="1" applyFill="1" applyBorder="1" applyAlignment="1" applyProtection="1">
      <alignment horizontal="left" indent="9"/>
      <protection hidden="1"/>
    </xf>
    <xf numFmtId="0" fontId="25" fillId="14" borderId="54" xfId="0" applyFont="1" applyFill="1" applyBorder="1" applyAlignment="1" applyProtection="1">
      <alignment horizontal="left" indent="9"/>
      <protection hidden="1"/>
    </xf>
    <xf numFmtId="0" fontId="0" fillId="11" borderId="49" xfId="0" applyFill="1" applyBorder="1" applyAlignment="1" applyProtection="1">
      <alignment horizontal="center" vertical="center"/>
      <protection hidden="1"/>
    </xf>
    <xf numFmtId="0" fontId="0" fillId="11" borderId="56" xfId="0" applyFill="1" applyBorder="1" applyAlignment="1" applyProtection="1">
      <alignment horizontal="center" vertical="center"/>
      <protection hidden="1"/>
    </xf>
    <xf numFmtId="0" fontId="0" fillId="11" borderId="53" xfId="0" applyFill="1" applyBorder="1" applyAlignment="1" applyProtection="1">
      <alignment horizontal="center" vertical="center"/>
      <protection hidden="1"/>
    </xf>
    <xf numFmtId="0" fontId="28" fillId="0" borderId="0" xfId="0" applyFont="1" applyAlignment="1">
      <alignment horizontal="center" vertical="center" wrapText="1"/>
    </xf>
    <xf numFmtId="41" fontId="39" fillId="11" borderId="61" xfId="1" applyFont="1" applyFill="1" applyBorder="1" applyAlignment="1">
      <alignment horizontal="center"/>
    </xf>
    <xf numFmtId="41" fontId="39" fillId="11" borderId="62" xfId="1" applyFont="1" applyFill="1" applyBorder="1" applyAlignment="1">
      <alignment horizontal="center"/>
    </xf>
    <xf numFmtId="41" fontId="39" fillId="11" borderId="63" xfId="1" applyFont="1" applyFill="1" applyBorder="1" applyAlignment="1">
      <alignment horizontal="center"/>
    </xf>
    <xf numFmtId="0" fontId="41" fillId="0" borderId="61" xfId="0" applyFont="1" applyBorder="1" applyAlignment="1">
      <alignment horizontal="center" wrapText="1"/>
    </xf>
    <xf numFmtId="0" fontId="41" fillId="0" borderId="62" xfId="0" applyFont="1" applyBorder="1" applyAlignment="1">
      <alignment horizontal="center" wrapText="1"/>
    </xf>
    <xf numFmtId="0" fontId="41" fillId="0" borderId="63" xfId="0" applyFont="1" applyBorder="1" applyAlignment="1">
      <alignment horizontal="center" wrapText="1"/>
    </xf>
    <xf numFmtId="0" fontId="0" fillId="0" borderId="53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0" xfId="0" applyProtection="1">
      <protection locked="0"/>
    </xf>
    <xf numFmtId="41" fontId="2" fillId="8" borderId="12" xfId="1" applyFont="1" applyFill="1" applyBorder="1" applyProtection="1">
      <protection locked="0"/>
    </xf>
    <xf numFmtId="41" fontId="0" fillId="4" borderId="12" xfId="1" applyFont="1" applyFill="1" applyBorder="1" applyProtection="1">
      <protection locked="0"/>
    </xf>
    <xf numFmtId="0" fontId="2" fillId="8" borderId="12" xfId="0" applyFont="1" applyFill="1" applyBorder="1" applyProtection="1">
      <protection locked="0"/>
    </xf>
    <xf numFmtId="41" fontId="2" fillId="15" borderId="12" xfId="1" applyFont="1" applyFill="1" applyBorder="1" applyProtection="1">
      <protection locked="0"/>
    </xf>
    <xf numFmtId="0" fontId="0" fillId="4" borderId="12" xfId="0" applyFill="1" applyBorder="1" applyProtection="1">
      <protection locked="0"/>
    </xf>
    <xf numFmtId="41" fontId="4" fillId="15" borderId="33" xfId="1" applyFont="1" applyFill="1" applyBorder="1" applyAlignment="1" applyProtection="1">
      <alignment horizontal="center" vertical="center"/>
      <protection locked="0"/>
    </xf>
    <xf numFmtId="41" fontId="4" fillId="15" borderId="32" xfId="1" applyFont="1" applyFill="1" applyBorder="1" applyAlignment="1" applyProtection="1">
      <alignment horizontal="center" vertical="center"/>
      <protection locked="0"/>
    </xf>
    <xf numFmtId="41" fontId="4" fillId="15" borderId="34" xfId="1" applyFont="1" applyFill="1" applyBorder="1" applyAlignment="1" applyProtection="1">
      <alignment horizontal="center" vertical="center"/>
      <protection locked="0"/>
    </xf>
    <xf numFmtId="41" fontId="4" fillId="15" borderId="16" xfId="1" applyFont="1" applyFill="1" applyBorder="1" applyAlignment="1" applyProtection="1">
      <alignment horizontal="center" vertical="center"/>
      <protection locked="0"/>
    </xf>
    <xf numFmtId="41" fontId="4" fillId="15" borderId="35" xfId="1" applyFont="1" applyFill="1" applyBorder="1" applyAlignment="1" applyProtection="1">
      <alignment horizontal="center" vertical="center"/>
      <protection locked="0"/>
    </xf>
    <xf numFmtId="41" fontId="4" fillId="15" borderId="18" xfId="1" applyFont="1" applyFill="1" applyBorder="1" applyAlignment="1" applyProtection="1">
      <alignment horizontal="center" vertical="center"/>
      <protection locked="0"/>
    </xf>
    <xf numFmtId="41" fontId="4" fillId="13" borderId="12" xfId="1" applyFont="1" applyFill="1" applyBorder="1" applyAlignment="1" applyProtection="1">
      <alignment horizontal="center"/>
      <protection locked="0"/>
    </xf>
    <xf numFmtId="41" fontId="0" fillId="11" borderId="12" xfId="1" applyFont="1" applyFill="1" applyBorder="1" applyProtection="1">
      <protection locked="0"/>
    </xf>
    <xf numFmtId="41" fontId="0" fillId="16" borderId="12" xfId="1" applyFont="1" applyFill="1" applyBorder="1" applyProtection="1">
      <protection locked="0"/>
    </xf>
    <xf numFmtId="41" fontId="3" fillId="0" borderId="0" xfId="1" applyFont="1" applyProtection="1">
      <protection locked="0"/>
    </xf>
    <xf numFmtId="41" fontId="4" fillId="13" borderId="12" xfId="1" applyFont="1" applyFill="1" applyBorder="1" applyAlignment="1" applyProtection="1">
      <alignment horizontal="center" vertical="center"/>
      <protection locked="0"/>
    </xf>
    <xf numFmtId="0" fontId="0" fillId="0" borderId="49" xfId="0" applyBorder="1" applyAlignment="1" applyProtection="1">
      <alignment horizontal="left" vertical="center"/>
      <protection hidden="1"/>
    </xf>
    <xf numFmtId="0" fontId="0" fillId="0" borderId="59" xfId="0" applyBorder="1" applyAlignment="1" applyProtection="1">
      <alignment horizontal="left" vertical="center"/>
      <protection hidden="1"/>
    </xf>
    <xf numFmtId="0" fontId="0" fillId="0" borderId="60" xfId="0" applyBorder="1" applyAlignment="1" applyProtection="1">
      <alignment horizontal="left" vertical="center"/>
      <protection hidden="1"/>
    </xf>
    <xf numFmtId="41" fontId="0" fillId="0" borderId="69" xfId="1" applyFont="1" applyBorder="1" applyAlignment="1" applyProtection="1">
      <alignment horizontal="center"/>
      <protection hidden="1"/>
    </xf>
    <xf numFmtId="0" fontId="43" fillId="7" borderId="69" xfId="0" applyFont="1" applyFill="1" applyBorder="1" applyAlignment="1" applyProtection="1">
      <alignment horizontal="center" vertical="center" wrapText="1"/>
      <protection hidden="1"/>
    </xf>
    <xf numFmtId="0" fontId="44" fillId="0" borderId="69" xfId="0" applyFont="1" applyBorder="1" applyAlignment="1" applyProtection="1">
      <alignment horizontal="center" vertical="center" wrapText="1"/>
      <protection hidden="1"/>
    </xf>
    <xf numFmtId="0" fontId="46" fillId="0" borderId="69" xfId="0" applyFont="1" applyBorder="1" applyProtection="1">
      <protection hidden="1"/>
    </xf>
    <xf numFmtId="0" fontId="44" fillId="0" borderId="70" xfId="0" applyFont="1" applyBorder="1" applyAlignment="1" applyProtection="1">
      <alignment horizontal="center" vertical="center" wrapText="1"/>
      <protection hidden="1"/>
    </xf>
    <xf numFmtId="0" fontId="44" fillId="0" borderId="71" xfId="0" applyFont="1" applyBorder="1" applyAlignment="1" applyProtection="1">
      <alignment horizontal="center" vertical="center" wrapText="1"/>
      <protection hidden="1"/>
    </xf>
    <xf numFmtId="0" fontId="44" fillId="0" borderId="72" xfId="0" applyFont="1" applyBorder="1" applyAlignment="1" applyProtection="1">
      <alignment horizontal="center" vertical="center" wrapText="1"/>
      <protection hidden="1"/>
    </xf>
    <xf numFmtId="0" fontId="0" fillId="0" borderId="53" xfId="0" applyBorder="1" applyAlignment="1" applyProtection="1">
      <alignment horizontal="center"/>
      <protection hidden="1"/>
    </xf>
    <xf numFmtId="0" fontId="0" fillId="0" borderId="55" xfId="0" applyBorder="1" applyAlignment="1" applyProtection="1">
      <alignment horizontal="center"/>
      <protection hidden="1"/>
    </xf>
    <xf numFmtId="0" fontId="0" fillId="0" borderId="54" xfId="0" applyBorder="1" applyAlignment="1" applyProtection="1">
      <alignment horizontal="center"/>
      <protection hidden="1"/>
    </xf>
    <xf numFmtId="0" fontId="45" fillId="0" borderId="66" xfId="0" applyFont="1" applyBorder="1" applyAlignment="1" applyProtection="1">
      <alignment horizontal="center"/>
      <protection hidden="1"/>
    </xf>
    <xf numFmtId="0" fontId="45" fillId="0" borderId="67" xfId="0" applyFont="1" applyBorder="1" applyAlignment="1" applyProtection="1">
      <alignment horizontal="center"/>
      <protection hidden="1"/>
    </xf>
    <xf numFmtId="0" fontId="45" fillId="0" borderId="68" xfId="0" applyFont="1" applyBorder="1" applyAlignment="1" applyProtection="1">
      <alignment horizontal="center"/>
      <protection hidden="1"/>
    </xf>
  </cellXfs>
  <cellStyles count="4">
    <cellStyle name="Comma [0]" xfId="1" builtinId="6"/>
    <cellStyle name="Hyperlink" xfId="2" builtinId="8"/>
    <cellStyle name="Normal" xfId="0" builtinId="0"/>
    <cellStyle name="Percent" xfId="3" builtinId="5"/>
  </cellStyles>
  <dxfs count="22"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9" tint="-0.24994659260841701"/>
      </font>
      <fill>
        <patternFill patternType="none">
          <bgColor auto="1"/>
        </patternFill>
      </fill>
    </dxf>
    <dxf>
      <fill>
        <patternFill>
          <bgColor theme="2" tint="-0.749961851863155"/>
        </patternFill>
      </fill>
    </dxf>
    <dxf>
      <font>
        <color theme="9" tint="0.39994506668294322"/>
      </font>
    </dxf>
    <dxf>
      <fill>
        <patternFill>
          <bgColor theme="2" tint="-0.749961851863155"/>
        </patternFill>
      </fill>
    </dxf>
    <dxf>
      <font>
        <color theme="5" tint="-0.499984740745262"/>
      </font>
      <border>
        <left/>
        <right/>
        <top/>
        <bottom/>
        <vertical/>
        <horizontal/>
      </border>
    </dxf>
    <dxf>
      <fill>
        <gradientFill type="path">
          <stop position="0">
            <color theme="9" tint="0.59999389629810485"/>
          </stop>
          <stop position="1">
            <color theme="0" tint="-5.0965910824915313E-2"/>
          </stop>
        </gradientFill>
      </fill>
    </dxf>
    <dxf>
      <fill>
        <gradientFill degree="90">
          <stop position="0">
            <color theme="6" tint="0.80001220740379042"/>
          </stop>
          <stop position="1">
            <color rgb="FFFF9999"/>
          </stop>
        </gradientFill>
      </fill>
    </dxf>
    <dxf>
      <font>
        <color theme="9" tint="-0.24994659260841701"/>
      </font>
      <border>
        <left style="dashDot">
          <color theme="9" tint="-0.24994659260841701"/>
        </left>
        <right style="dashDot">
          <color theme="9" tint="-0.24994659260841701"/>
        </right>
        <top style="dashDot">
          <color theme="9" tint="-0.24994659260841701"/>
        </top>
        <bottom style="dashDot">
          <color theme="9" tint="-0.2499465926084170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none">
          <bgColor auto="1"/>
        </patternFill>
      </fill>
    </dxf>
    <dxf>
      <fill>
        <patternFill>
          <bgColor theme="2" tint="-0.749961851863155"/>
        </patternFill>
      </fill>
    </dxf>
    <dxf>
      <fill>
        <gradientFill degree="90">
          <stop position="0">
            <color theme="0"/>
          </stop>
          <stop position="0.5">
            <color theme="9" tint="0.59999389629810485"/>
          </stop>
          <stop position="1">
            <color theme="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1F7ED"/>
      <color rgb="FFEAF4E4"/>
      <color rgb="FFFDE3F6"/>
      <color rgb="FFFF6699"/>
      <color rgb="FFF4B488"/>
      <color rgb="FFFF9999"/>
      <color rgb="FFECF0F8"/>
      <color rgb="FFF6ACDA"/>
      <color rgb="FFF7A7E2"/>
      <color rgb="FFFFA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youtube.com/@ranmaudy?si=1BB99ugT_J5GNH9l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1008032</xdr:colOff>
      <xdr:row>5</xdr:row>
      <xdr:rowOff>58687</xdr:rowOff>
    </xdr:from>
    <xdr:ext cx="820867" cy="234950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4711F1-0BC2-44D7-BE5B-73C890425B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630" b="35555"/>
        <a:stretch>
          <a:fillRect/>
        </a:stretch>
      </xdr:blipFill>
      <xdr:spPr>
        <a:xfrm>
          <a:off x="8284385" y="992511"/>
          <a:ext cx="820867" cy="234950"/>
        </a:xfrm>
        <a:prstGeom prst="rect">
          <a:avLst/>
        </a:prstGeom>
      </xdr:spPr>
    </xdr:pic>
    <xdr:clientData/>
  </xdr:oneCellAnchor>
  <xdr:twoCellAnchor>
    <xdr:from>
      <xdr:col>0</xdr:col>
      <xdr:colOff>133350</xdr:colOff>
      <xdr:row>1</xdr:row>
      <xdr:rowOff>50800</xdr:rowOff>
    </xdr:from>
    <xdr:to>
      <xdr:col>1</xdr:col>
      <xdr:colOff>152400</xdr:colOff>
      <xdr:row>2</xdr:row>
      <xdr:rowOff>114300</xdr:rowOff>
    </xdr:to>
    <xdr:sp macro="" textlink="">
      <xdr:nvSpPr>
        <xdr:cNvPr id="2" name="&quot;Not Allowed&quot; Symbol 1">
          <a:extLst>
            <a:ext uri="{FF2B5EF4-FFF2-40B4-BE49-F238E27FC236}">
              <a16:creationId xmlns:a16="http://schemas.microsoft.com/office/drawing/2014/main" id="{D30260A8-F051-1518-F213-59059A746B90}"/>
            </a:ext>
          </a:extLst>
        </xdr:cNvPr>
        <xdr:cNvSpPr/>
      </xdr:nvSpPr>
      <xdr:spPr>
        <a:xfrm>
          <a:off x="133350" y="234950"/>
          <a:ext cx="266700" cy="247650"/>
        </a:xfrm>
        <a:prstGeom prst="noSmoking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109</xdr:row>
      <xdr:rowOff>133821</xdr:rowOff>
    </xdr:from>
    <xdr:to>
      <xdr:col>7</xdr:col>
      <xdr:colOff>727879</xdr:colOff>
      <xdr:row>150</xdr:row>
      <xdr:rowOff>157535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BB18D8-E56A-9E18-8549-42536B2F2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0168071"/>
          <a:ext cx="5506254" cy="7834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2886-951C-41F8-9962-7409A4EBFF4C}">
  <dimension ref="B2:K38"/>
  <sheetViews>
    <sheetView zoomScale="85" zoomScaleNormal="85" workbookViewId="0">
      <selection activeCell="G12" sqref="G12"/>
    </sheetView>
  </sheetViews>
  <sheetFormatPr defaultRowHeight="14.5"/>
  <cols>
    <col min="1" max="1" width="3.54296875" customWidth="1"/>
    <col min="2" max="2" width="3.453125" bestFit="1" customWidth="1"/>
    <col min="3" max="3" width="7.90625" customWidth="1"/>
    <col min="4" max="4" width="30.90625" bestFit="1" customWidth="1"/>
    <col min="5" max="5" width="10" bestFit="1" customWidth="1"/>
    <col min="6" max="6" width="12" bestFit="1" customWidth="1"/>
    <col min="7" max="7" width="18.81640625" bestFit="1" customWidth="1"/>
    <col min="10" max="10" width="44" customWidth="1"/>
  </cols>
  <sheetData>
    <row r="2" spans="2:11">
      <c r="C2" s="9" t="s">
        <v>12</v>
      </c>
      <c r="D2" s="11"/>
      <c r="E2" s="11"/>
      <c r="F2" s="11"/>
      <c r="G2" s="11"/>
      <c r="H2" s="11"/>
      <c r="I2" s="11"/>
      <c r="J2" s="12"/>
    </row>
    <row r="3" spans="2:11">
      <c r="C3" s="10" t="s">
        <v>13</v>
      </c>
      <c r="D3" s="13"/>
      <c r="E3" s="13"/>
      <c r="F3" s="13"/>
      <c r="G3" s="13"/>
      <c r="H3" s="13"/>
      <c r="I3" s="13"/>
      <c r="J3" s="14"/>
    </row>
    <row r="6" spans="2:11" ht="23.5">
      <c r="C6" s="116" t="s">
        <v>16</v>
      </c>
      <c r="D6" s="116"/>
      <c r="E6" s="116"/>
      <c r="F6" s="116"/>
    </row>
    <row r="7" spans="2:11" ht="18.5">
      <c r="C7" s="117" t="s">
        <v>17</v>
      </c>
      <c r="D7" s="117"/>
      <c r="E7" s="117"/>
      <c r="F7" s="117"/>
      <c r="G7" s="117"/>
      <c r="H7" s="117"/>
      <c r="I7" s="117"/>
      <c r="J7" s="117"/>
      <c r="K7" s="117"/>
    </row>
    <row r="9" spans="2:11" ht="15" thickBot="1"/>
    <row r="10" spans="2:11" ht="19.5" thickTop="1" thickBot="1">
      <c r="C10" s="118" t="s">
        <v>14</v>
      </c>
      <c r="D10" s="119"/>
      <c r="E10" s="119"/>
      <c r="F10" s="120"/>
    </row>
    <row r="11" spans="2:11" ht="19" thickTop="1">
      <c r="C11" s="7"/>
    </row>
    <row r="12" spans="2:11">
      <c r="C12" s="115" t="s">
        <v>44</v>
      </c>
      <c r="D12" s="115"/>
      <c r="E12" s="115"/>
      <c r="F12" s="115"/>
    </row>
    <row r="13" spans="2:11" ht="15" thickBot="1"/>
    <row r="14" spans="2:11" s="4" customFormat="1" ht="20" customHeight="1" thickTop="1" thickBot="1">
      <c r="C14" s="21" t="s">
        <v>18</v>
      </c>
      <c r="D14" s="22" t="s">
        <v>19</v>
      </c>
      <c r="F14" s="21" t="s">
        <v>58</v>
      </c>
      <c r="G14" s="22" t="s">
        <v>59</v>
      </c>
    </row>
    <row r="15" spans="2:11" s="4" customFormat="1" ht="20" customHeight="1" thickTop="1" thickBot="1">
      <c r="B15" s="20"/>
      <c r="C15" s="21" t="s">
        <v>22</v>
      </c>
      <c r="D15" s="22" t="s">
        <v>23</v>
      </c>
      <c r="F15" s="21" t="s">
        <v>20</v>
      </c>
      <c r="G15" s="22" t="s">
        <v>21</v>
      </c>
    </row>
    <row r="16" spans="2:11" s="4" customFormat="1" ht="20" customHeight="1" thickTop="1" thickBot="1">
      <c r="C16" s="21" t="s">
        <v>26</v>
      </c>
      <c r="D16" s="22" t="s">
        <v>27</v>
      </c>
      <c r="F16" s="21" t="s">
        <v>24</v>
      </c>
      <c r="G16" s="22" t="s">
        <v>25</v>
      </c>
    </row>
    <row r="17" spans="2:7" s="4" customFormat="1" ht="20" customHeight="1" thickTop="1" thickBot="1">
      <c r="C17" s="21" t="s">
        <v>29</v>
      </c>
      <c r="D17" s="22" t="s">
        <v>30</v>
      </c>
      <c r="F17" s="21" t="s">
        <v>45</v>
      </c>
      <c r="G17" s="22" t="s">
        <v>28</v>
      </c>
    </row>
    <row r="18" spans="2:7" s="4" customFormat="1" ht="20" customHeight="1" thickTop="1" thickBot="1">
      <c r="C18" s="21" t="s">
        <v>33</v>
      </c>
      <c r="D18" s="22" t="s">
        <v>34</v>
      </c>
      <c r="F18" s="21" t="s">
        <v>31</v>
      </c>
      <c r="G18" s="22" t="s">
        <v>32</v>
      </c>
    </row>
    <row r="19" spans="2:7" s="4" customFormat="1" ht="20" customHeight="1" thickTop="1" thickBot="1">
      <c r="C19" s="21" t="s">
        <v>37</v>
      </c>
      <c r="D19" s="22" t="s">
        <v>38</v>
      </c>
      <c r="F19" s="21" t="s">
        <v>35</v>
      </c>
      <c r="G19" s="22" t="s">
        <v>36</v>
      </c>
    </row>
    <row r="20" spans="2:7" s="4" customFormat="1" ht="20" customHeight="1" thickTop="1" thickBot="1">
      <c r="C20" s="21" t="s">
        <v>41</v>
      </c>
      <c r="D20" s="22" t="s">
        <v>53</v>
      </c>
      <c r="F20" s="21" t="s">
        <v>39</v>
      </c>
      <c r="G20" s="22" t="s">
        <v>40</v>
      </c>
    </row>
    <row r="21" spans="2:7" s="4" customFormat="1" ht="20" customHeight="1" thickTop="1" thickBot="1">
      <c r="C21" s="21" t="s">
        <v>54</v>
      </c>
      <c r="D21" s="22" t="s">
        <v>55</v>
      </c>
      <c r="F21" s="21" t="s">
        <v>42</v>
      </c>
      <c r="G21" s="22" t="s">
        <v>43</v>
      </c>
    </row>
    <row r="22" spans="2:7" ht="15" thickTop="1">
      <c r="B22" s="16"/>
      <c r="C22" s="16"/>
      <c r="D22" s="16"/>
      <c r="E22" s="19"/>
      <c r="F22" s="16"/>
      <c r="G22" s="18"/>
    </row>
    <row r="23" spans="2:7">
      <c r="B23" s="16"/>
      <c r="C23" s="16"/>
      <c r="D23" s="16"/>
      <c r="E23" s="19"/>
      <c r="F23" s="16"/>
      <c r="G23" s="18"/>
    </row>
    <row r="24" spans="2:7">
      <c r="B24" s="4"/>
      <c r="C24" s="115" t="s">
        <v>51</v>
      </c>
      <c r="D24" s="115"/>
      <c r="E24" s="115"/>
      <c r="F24" s="115"/>
      <c r="G24" s="5"/>
    </row>
    <row r="25" spans="2:7">
      <c r="B25" s="4"/>
      <c r="C25" s="4"/>
      <c r="D25" s="4"/>
      <c r="E25" s="15"/>
      <c r="F25" s="4"/>
      <c r="G25" s="5"/>
    </row>
    <row r="26" spans="2:7">
      <c r="C26" s="1" t="s">
        <v>46</v>
      </c>
      <c r="D26" t="s">
        <v>49</v>
      </c>
    </row>
    <row r="27" spans="2:7">
      <c r="C27" s="1" t="s">
        <v>48</v>
      </c>
      <c r="D27" t="s">
        <v>50</v>
      </c>
    </row>
    <row r="28" spans="2:7">
      <c r="C28" s="1" t="s">
        <v>47</v>
      </c>
      <c r="D28" t="s">
        <v>52</v>
      </c>
    </row>
    <row r="29" spans="2:7">
      <c r="C29" s="1" t="s">
        <v>57</v>
      </c>
      <c r="D29" t="s">
        <v>56</v>
      </c>
    </row>
    <row r="31" spans="2:7">
      <c r="C31" s="17"/>
      <c r="D31" s="17"/>
    </row>
    <row r="32" spans="2:7">
      <c r="C32" s="1"/>
    </row>
    <row r="37" spans="3:5">
      <c r="C37" s="1" t="s">
        <v>85</v>
      </c>
    </row>
    <row r="38" spans="3:5">
      <c r="C38" s="114" t="s">
        <v>11</v>
      </c>
      <c r="D38" s="114"/>
      <c r="E38" s="114"/>
    </row>
  </sheetData>
  <mergeCells count="6">
    <mergeCell ref="C38:E38"/>
    <mergeCell ref="C24:F24"/>
    <mergeCell ref="C6:F6"/>
    <mergeCell ref="C7:K7"/>
    <mergeCell ref="C10:F10"/>
    <mergeCell ref="C12:F12"/>
  </mergeCells>
  <conditionalFormatting sqref="E14:E21 I14:I21">
    <cfRule type="containsText" dxfId="21" priority="1" operator="containsText" text="DONE">
      <formula>NOT(ISERROR(SEARCH("DONE",E14)))</formula>
    </cfRule>
  </conditionalFormatting>
  <hyperlinks>
    <hyperlink ref="C38" location="'LEVEL 1'!A1" display="AYO KERJAKAN LATIHANNYA ~" xr:uid="{B48F756A-DD8C-43C0-8FC6-255E0EAAA1F1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21A8-C8CF-4DF7-9B1D-EB7A65B104D8}">
  <dimension ref="A1:M153"/>
  <sheetViews>
    <sheetView topLeftCell="A37" zoomScale="85" zoomScaleNormal="85" workbookViewId="0">
      <selection activeCell="H54" sqref="H54:I55"/>
    </sheetView>
  </sheetViews>
  <sheetFormatPr defaultRowHeight="14.5"/>
  <cols>
    <col min="1" max="1" width="11.90625" customWidth="1"/>
    <col min="2" max="2" width="9.54296875" bestFit="1" customWidth="1"/>
    <col min="3" max="3" width="9.26953125" style="2" bestFit="1" customWidth="1"/>
    <col min="4" max="4" width="7.54296875" style="2" bestFit="1" customWidth="1"/>
    <col min="5" max="5" width="12.90625" style="2" bestFit="1" customWidth="1"/>
    <col min="8" max="8" width="29.90625" customWidth="1"/>
    <col min="9" max="9" width="15.54296875" customWidth="1"/>
    <col min="10" max="10" width="44.36328125" customWidth="1"/>
  </cols>
  <sheetData>
    <row r="1" spans="1:13" ht="20.5" customHeight="1" thickBot="1">
      <c r="A1" s="136" t="s">
        <v>198</v>
      </c>
      <c r="B1" s="136"/>
      <c r="C1" s="137" t="str">
        <f>I51</f>
        <v>⏳ BELUM DISELESAIKAN</v>
      </c>
      <c r="D1" s="137"/>
      <c r="E1" s="137"/>
    </row>
    <row r="2" spans="1:13" ht="17.5" thickBot="1">
      <c r="A2" s="138" t="s">
        <v>192</v>
      </c>
      <c r="B2" s="138"/>
      <c r="C2" s="138"/>
      <c r="D2" s="138"/>
      <c r="E2" s="138"/>
      <c r="H2" s="28" t="s">
        <v>89</v>
      </c>
    </row>
    <row r="3" spans="1:13" ht="15" thickBot="1">
      <c r="A3" s="139" t="s">
        <v>87</v>
      </c>
      <c r="B3" s="139"/>
      <c r="C3" s="139"/>
      <c r="D3" s="139"/>
      <c r="E3" s="139"/>
      <c r="H3" s="58" t="s">
        <v>96</v>
      </c>
    </row>
    <row r="4" spans="1:13" ht="18.5" customHeight="1" thickBot="1">
      <c r="A4" s="140" t="s">
        <v>88</v>
      </c>
      <c r="B4" s="140"/>
      <c r="C4" s="140"/>
      <c r="D4" s="140"/>
      <c r="E4" s="140"/>
      <c r="H4" s="59" t="s">
        <v>90</v>
      </c>
    </row>
    <row r="5" spans="1:13" ht="26.5" customHeight="1" thickBot="1">
      <c r="A5" s="140"/>
      <c r="B5" s="140"/>
      <c r="C5" s="140"/>
      <c r="D5" s="140"/>
      <c r="E5" s="140"/>
      <c r="H5" s="59" t="s">
        <v>199</v>
      </c>
      <c r="I5" s="3"/>
    </row>
    <row r="6" spans="1:13">
      <c r="H6" s="1"/>
    </row>
    <row r="7" spans="1:13" ht="35.5" customHeight="1" thickBot="1">
      <c r="A7" s="55"/>
      <c r="B7" s="56"/>
      <c r="C7" s="56"/>
      <c r="D7" s="56"/>
      <c r="E7" s="56"/>
      <c r="F7" s="55"/>
      <c r="G7" s="55"/>
      <c r="H7" s="57"/>
      <c r="I7" s="55"/>
      <c r="J7" s="55"/>
      <c r="K7" s="55"/>
      <c r="L7" s="55"/>
      <c r="M7" s="55"/>
    </row>
    <row r="8" spans="1:13" ht="15" thickTop="1">
      <c r="B8" s="27"/>
      <c r="C8" s="27"/>
      <c r="D8" s="27"/>
      <c r="E8" s="27"/>
      <c r="H8" s="1"/>
    </row>
    <row r="9" spans="1:13" ht="15" thickBot="1">
      <c r="A9" s="29" t="s">
        <v>97</v>
      </c>
      <c r="G9" s="29" t="s">
        <v>200</v>
      </c>
    </row>
    <row r="10" spans="1:13" s="4" customFormat="1" ht="16.5" thickTop="1" thickBot="1">
      <c r="A10" s="51" t="s">
        <v>60</v>
      </c>
      <c r="B10" s="51" t="s">
        <v>61</v>
      </c>
      <c r="C10" s="52" t="s">
        <v>5</v>
      </c>
      <c r="D10" s="52" t="s">
        <v>3</v>
      </c>
      <c r="E10" s="51" t="s">
        <v>62</v>
      </c>
      <c r="G10" s="24" t="s">
        <v>0</v>
      </c>
      <c r="H10" s="25" t="s">
        <v>4</v>
      </c>
      <c r="I10" s="23" t="s">
        <v>6</v>
      </c>
      <c r="J10" s="26" t="s">
        <v>1</v>
      </c>
    </row>
    <row r="11" spans="1:13" ht="15.5" thickTop="1" thickBot="1">
      <c r="A11" s="53" t="s">
        <v>63</v>
      </c>
      <c r="B11" s="53" t="s">
        <v>64</v>
      </c>
      <c r="C11" s="54">
        <v>282</v>
      </c>
      <c r="D11" s="54"/>
      <c r="E11" s="53" t="s">
        <v>65</v>
      </c>
      <c r="G11" s="141">
        <v>1</v>
      </c>
      <c r="H11" s="125" t="s">
        <v>92</v>
      </c>
      <c r="I11" s="128"/>
      <c r="J11" s="121" t="str">
        <f>IF(I11="","Isi Jawabannya di Cell I11",IF(_xlfn.ISFORMULA(I11)=FALSE,"COBA LAGI,PAKAI RUMUS SUM YAA. AMBIL SEMUA ANGKA DI KOLOM 'HARGA'",IF(I11=SUM(D11:D60),"YEAY BENAR","COBA LAGI,PAKAI RUMUS SUM YAA. AMBIL SEMUA ANGKA DI KOLOM 'HARGA'")))</f>
        <v>Isi Jawabannya di Cell I11</v>
      </c>
      <c r="K11" s="4"/>
    </row>
    <row r="12" spans="1:13" ht="14.5" customHeight="1" thickTop="1" thickBot="1">
      <c r="A12" s="53" t="s">
        <v>66</v>
      </c>
      <c r="B12" s="53" t="s">
        <v>67</v>
      </c>
      <c r="C12" s="54">
        <v>133</v>
      </c>
      <c r="D12" s="54"/>
      <c r="E12" s="53"/>
      <c r="G12" s="133"/>
      <c r="H12" s="126"/>
      <c r="I12" s="129"/>
      <c r="J12" s="122"/>
      <c r="K12" s="4"/>
    </row>
    <row r="13" spans="1:13" ht="15.5" thickTop="1" thickBot="1">
      <c r="A13" s="53" t="s">
        <v>68</v>
      </c>
      <c r="B13" s="53" t="s">
        <v>69</v>
      </c>
      <c r="C13" s="54">
        <v>252</v>
      </c>
      <c r="D13" s="54">
        <v>40566</v>
      </c>
      <c r="E13" s="53" t="s">
        <v>65</v>
      </c>
      <c r="G13" s="133"/>
      <c r="H13" s="127"/>
      <c r="I13" s="130"/>
      <c r="J13" s="123"/>
      <c r="K13" s="4"/>
    </row>
    <row r="14" spans="1:13" ht="15.5" customHeight="1" thickTop="1" thickBot="1">
      <c r="A14" s="53" t="s">
        <v>70</v>
      </c>
      <c r="B14" s="53" t="s">
        <v>71</v>
      </c>
      <c r="C14" s="54"/>
      <c r="D14" s="54">
        <v>61735</v>
      </c>
      <c r="E14" s="53" t="s">
        <v>72</v>
      </c>
      <c r="G14" s="133">
        <v>2</v>
      </c>
      <c r="H14" s="125" t="s">
        <v>91</v>
      </c>
      <c r="I14" s="131"/>
      <c r="J14" s="124" t="str">
        <f>IF(I14="","Isi Jawabannya di Cell I14",IF(_xlfn.ISFORMULA(I14)=FALSE,"COBA LAGI, PAKAI RUMUS SUM YAA. AMBIL SEMUA ANGKA DI KOLOM 'QUANTITY'",IF(I14=SUM(C11:C60),"OKAY BENAR KMU UDAH BISA RUMUS SUM YAA","COBA LAGI, PAKAI RUMUS SUM YAA. AMBIL SEMUA ANGKA DI KOLOM 'QUANTITY'")))</f>
        <v>Isi Jawabannya di Cell I14</v>
      </c>
      <c r="K14" s="4"/>
    </row>
    <row r="15" spans="1:13" ht="15.5" thickTop="1" thickBot="1">
      <c r="A15" s="53" t="s">
        <v>73</v>
      </c>
      <c r="B15" s="53" t="s">
        <v>74</v>
      </c>
      <c r="C15" s="54"/>
      <c r="D15" s="54">
        <v>34228</v>
      </c>
      <c r="E15" s="53"/>
      <c r="G15" s="133"/>
      <c r="H15" s="126"/>
      <c r="I15" s="132"/>
      <c r="J15" s="122"/>
      <c r="K15" s="4"/>
    </row>
    <row r="16" spans="1:13" ht="15.5" thickTop="1" thickBot="1">
      <c r="A16" s="53" t="s">
        <v>63</v>
      </c>
      <c r="B16" s="53" t="s">
        <v>64</v>
      </c>
      <c r="C16" s="54">
        <v>22</v>
      </c>
      <c r="D16" s="54">
        <v>63602</v>
      </c>
      <c r="E16" s="53"/>
      <c r="G16" s="133"/>
      <c r="H16" s="127"/>
      <c r="I16" s="132"/>
      <c r="J16" s="123"/>
    </row>
    <row r="17" spans="1:10" ht="15.5" customHeight="1" thickTop="1" thickBot="1">
      <c r="A17" s="53" t="s">
        <v>75</v>
      </c>
      <c r="B17" s="53" t="s">
        <v>76</v>
      </c>
      <c r="C17" s="54">
        <v>153</v>
      </c>
      <c r="D17" s="54"/>
      <c r="E17" s="53"/>
      <c r="G17" s="133">
        <v>3</v>
      </c>
      <c r="H17" s="125" t="s">
        <v>93</v>
      </c>
      <c r="I17" s="131"/>
      <c r="J17" s="124" t="str">
        <f>IF(I17="","Isi Jawabannya di Cell I17",IF(_xlfn.ISFORMULA(I17)=FALSE,"COBA LAGI, PAKAI RUMUS COUNT YAA. AMBIL SEMUA ANGKA DI KOLOM 'QUANTITY'",IF(I17=COUNT(C11:C60),"YEAY BENAR","COBA LAGI, PAKAI RUMUS COUNT YAA. AMBIL SEMUA ANGKA DI KOLOM 'QUANTITY'")))</f>
        <v>Isi Jawabannya di Cell I17</v>
      </c>
    </row>
    <row r="18" spans="1:10" ht="15.5" customHeight="1" thickTop="1" thickBot="1">
      <c r="A18" s="53" t="s">
        <v>68</v>
      </c>
      <c r="B18" s="53" t="s">
        <v>69</v>
      </c>
      <c r="C18" s="54"/>
      <c r="D18" s="54">
        <v>33911</v>
      </c>
      <c r="E18" s="53" t="s">
        <v>65</v>
      </c>
      <c r="G18" s="133"/>
      <c r="H18" s="126"/>
      <c r="I18" s="132"/>
      <c r="J18" s="122"/>
    </row>
    <row r="19" spans="1:10" ht="15.5" customHeight="1" thickTop="1" thickBot="1">
      <c r="A19" s="53" t="s">
        <v>70</v>
      </c>
      <c r="B19" s="53" t="s">
        <v>71</v>
      </c>
      <c r="C19" s="54"/>
      <c r="D19" s="54">
        <v>44186</v>
      </c>
      <c r="E19" s="53"/>
      <c r="G19" s="133"/>
      <c r="H19" s="127"/>
      <c r="I19" s="132"/>
      <c r="J19" s="123"/>
    </row>
    <row r="20" spans="1:10" ht="15.5" customHeight="1" thickTop="1" thickBot="1">
      <c r="A20" s="53" t="s">
        <v>70</v>
      </c>
      <c r="B20" s="53" t="s">
        <v>71</v>
      </c>
      <c r="C20" s="54"/>
      <c r="D20" s="54"/>
      <c r="E20" s="53"/>
      <c r="G20" s="133">
        <v>4</v>
      </c>
      <c r="H20" s="125" t="s">
        <v>94</v>
      </c>
      <c r="I20" s="131"/>
      <c r="J20" s="124" t="str">
        <f>IF(I20="","Isi Jawabannya di Cell I20",IF(_xlfn.ISFORMULA(I20)=FALSE,"COBA LAGI, PAKAI RUMUS COUNT YAA. AMBIL SEMUA ANGKA DI KOLOM 'HARGA'",IF(I20=COUNT(D11:D60),"OKAY BENAR KMU UDAH BISA RUMUS COUNT YAA","COBA LAGI, PAKAI RUMUS COUNT YAA. AMBIL SEMUA ANGKA DI KOLOM 'HARGA'")))</f>
        <v>Isi Jawabannya di Cell I20</v>
      </c>
    </row>
    <row r="21" spans="1:10" ht="14.5" customHeight="1" thickTop="1" thickBot="1">
      <c r="A21" s="53" t="s">
        <v>70</v>
      </c>
      <c r="B21" s="53" t="s">
        <v>71</v>
      </c>
      <c r="C21" s="54">
        <v>262</v>
      </c>
      <c r="D21" s="54"/>
      <c r="E21" s="53" t="s">
        <v>72</v>
      </c>
      <c r="G21" s="133"/>
      <c r="H21" s="126"/>
      <c r="I21" s="132"/>
      <c r="J21" s="122"/>
    </row>
    <row r="22" spans="1:10" ht="14.5" customHeight="1" thickTop="1" thickBot="1">
      <c r="A22" s="53" t="s">
        <v>77</v>
      </c>
      <c r="B22" s="53" t="s">
        <v>78</v>
      </c>
      <c r="C22" s="54">
        <v>269</v>
      </c>
      <c r="D22" s="54"/>
      <c r="E22" s="53"/>
      <c r="G22" s="133"/>
      <c r="H22" s="127"/>
      <c r="I22" s="132"/>
      <c r="J22" s="123"/>
    </row>
    <row r="23" spans="1:10" ht="14.5" customHeight="1" thickTop="1" thickBot="1">
      <c r="A23" s="53" t="s">
        <v>75</v>
      </c>
      <c r="B23" s="53" t="s">
        <v>76</v>
      </c>
      <c r="C23" s="54"/>
      <c r="D23" s="54"/>
      <c r="E23" s="53" t="s">
        <v>65</v>
      </c>
      <c r="G23" s="133">
        <v>5</v>
      </c>
      <c r="H23" s="125" t="s">
        <v>95</v>
      </c>
      <c r="I23" s="134"/>
      <c r="J23" s="124" t="str">
        <f>IF(I23="","Isi Jawabannya di Cell I23",IF(_xlfn.ISFORMULA(I23)=FALSE,"COBA LAGI, PAKAI RUMUS COUNTA YAA. AMBIL SEMUA DATA DI KOLOM 'LOKASI GUDANG'",IF(I23=COUNTA(E11:E60),"BENAR. PAKE COUNTA. GAMPANG KAN","COBA LAGI, PAKAI RUMUS COUNTA YAA. AMBIL SEMUA DATA DI KOLOM 'LOKASI GUDANG'")))</f>
        <v>Isi Jawabannya di Cell I23</v>
      </c>
    </row>
    <row r="24" spans="1:10" ht="16" customHeight="1" thickTop="1" thickBot="1">
      <c r="A24" s="53" t="s">
        <v>63</v>
      </c>
      <c r="B24" s="53" t="s">
        <v>64</v>
      </c>
      <c r="C24" s="54">
        <v>259</v>
      </c>
      <c r="D24" s="54"/>
      <c r="E24" s="53" t="s">
        <v>65</v>
      </c>
      <c r="G24" s="133"/>
      <c r="H24" s="126"/>
      <c r="I24" s="135"/>
      <c r="J24" s="122"/>
    </row>
    <row r="25" spans="1:10" ht="14.5" customHeight="1" thickTop="1" thickBot="1">
      <c r="A25" s="53" t="s">
        <v>70</v>
      </c>
      <c r="B25" s="53" t="s">
        <v>71</v>
      </c>
      <c r="C25" s="54"/>
      <c r="D25" s="54"/>
      <c r="E25" s="53"/>
      <c r="G25" s="133"/>
      <c r="H25" s="127"/>
      <c r="I25" s="135"/>
      <c r="J25" s="123"/>
    </row>
    <row r="26" spans="1:10" ht="14.5" customHeight="1" thickTop="1" thickBot="1">
      <c r="A26" s="53" t="s">
        <v>79</v>
      </c>
      <c r="B26" s="53" t="s">
        <v>80</v>
      </c>
      <c r="C26" s="54">
        <v>271</v>
      </c>
      <c r="D26" s="54"/>
      <c r="E26" s="53" t="s">
        <v>72</v>
      </c>
      <c r="G26" s="133">
        <v>6</v>
      </c>
      <c r="H26" s="143" t="s">
        <v>189</v>
      </c>
      <c r="I26" s="144"/>
      <c r="J26" s="124" t="str">
        <f>IF(I26="","Isi Jawabannya di Cell I26",IF(_xlfn.ISFORMULA(I26)=FALSE,"COBA LAGI, PAKAI RUMUS LEFT YAA. PADA CELL B13",IF(I26=LEFT(B13,4),"YEAY BENAR","COBA LAGI, PAKAI RUMUS LEFT YAA. PADA CELL B13")))</f>
        <v>Isi Jawabannya di Cell I26</v>
      </c>
    </row>
    <row r="27" spans="1:10" ht="14.5" customHeight="1" thickTop="1" thickBot="1">
      <c r="A27" s="53" t="s">
        <v>75</v>
      </c>
      <c r="B27" s="53" t="s">
        <v>76</v>
      </c>
      <c r="C27" s="54">
        <v>172</v>
      </c>
      <c r="D27" s="54"/>
      <c r="E27" s="53" t="s">
        <v>72</v>
      </c>
      <c r="G27" s="133"/>
      <c r="H27" s="143"/>
      <c r="I27" s="144"/>
      <c r="J27" s="122"/>
    </row>
    <row r="28" spans="1:10" ht="14.5" customHeight="1" thickTop="1" thickBot="1">
      <c r="A28" s="53" t="s">
        <v>81</v>
      </c>
      <c r="B28" s="53" t="s">
        <v>82</v>
      </c>
      <c r="C28" s="54"/>
      <c r="D28" s="54"/>
      <c r="E28" s="53" t="s">
        <v>72</v>
      </c>
      <c r="G28" s="133"/>
      <c r="H28" s="143"/>
      <c r="I28" s="144"/>
      <c r="J28" s="123"/>
    </row>
    <row r="29" spans="1:10" ht="14.5" customHeight="1" thickTop="1" thickBot="1">
      <c r="A29" s="53" t="s">
        <v>77</v>
      </c>
      <c r="B29" s="53" t="s">
        <v>78</v>
      </c>
      <c r="C29" s="54">
        <v>79</v>
      </c>
      <c r="D29" s="54"/>
      <c r="E29" s="53"/>
      <c r="G29" s="133">
        <v>7</v>
      </c>
      <c r="H29" s="143" t="s">
        <v>187</v>
      </c>
      <c r="I29" s="144"/>
      <c r="J29" s="124" t="str">
        <f>IF(I29="","Isi Jawabannya di Cell I29",IF(_xlfn.ISFORMULA(I29)=FALSE,"COBA LAGI, PAKAI RUMUS LEFT YAA. PADA CELL B60",IF(I29=LEFT(B60,6),"YEAY BENAR. KALAU SUDAH SEMUA, SEKARANG KAMU BISA KE LEVEL 2","COBA LAGI, PAKAI RUMUS LEFT YAA. PADA CELL B60")))</f>
        <v>Isi Jawabannya di Cell I29</v>
      </c>
    </row>
    <row r="30" spans="1:10" ht="14.5" customHeight="1" thickTop="1" thickBot="1">
      <c r="A30" s="53" t="s">
        <v>75</v>
      </c>
      <c r="B30" s="53" t="s">
        <v>76</v>
      </c>
      <c r="C30" s="54">
        <v>30</v>
      </c>
      <c r="D30" s="54"/>
      <c r="E30" s="53" t="s">
        <v>72</v>
      </c>
      <c r="G30" s="133"/>
      <c r="H30" s="143"/>
      <c r="I30" s="144"/>
      <c r="J30" s="122"/>
    </row>
    <row r="31" spans="1:10" ht="14.5" customHeight="1" thickTop="1" thickBot="1">
      <c r="A31" s="53" t="s">
        <v>77</v>
      </c>
      <c r="B31" s="53" t="s">
        <v>78</v>
      </c>
      <c r="C31" s="54">
        <v>220</v>
      </c>
      <c r="D31" s="54"/>
      <c r="E31" s="53" t="s">
        <v>72</v>
      </c>
      <c r="G31" s="133"/>
      <c r="H31" s="143"/>
      <c r="I31" s="144"/>
      <c r="J31" s="123"/>
    </row>
    <row r="32" spans="1:10" ht="14.5" customHeight="1" thickBot="1">
      <c r="A32" s="53" t="s">
        <v>73</v>
      </c>
      <c r="B32" s="53" t="s">
        <v>74</v>
      </c>
      <c r="C32" s="54">
        <v>44</v>
      </c>
      <c r="D32" s="54">
        <v>54763</v>
      </c>
      <c r="E32" s="53"/>
    </row>
    <row r="33" spans="1:8" ht="14.5" customHeight="1" thickBot="1">
      <c r="A33" s="53" t="s">
        <v>70</v>
      </c>
      <c r="B33" s="53" t="s">
        <v>71</v>
      </c>
      <c r="C33" s="54"/>
      <c r="D33" s="54">
        <v>33327</v>
      </c>
      <c r="E33" s="53" t="s">
        <v>65</v>
      </c>
    </row>
    <row r="34" spans="1:8" ht="14.5" customHeight="1" thickBot="1">
      <c r="A34" s="53" t="s">
        <v>63</v>
      </c>
      <c r="B34" s="53" t="s">
        <v>64</v>
      </c>
      <c r="C34" s="54"/>
      <c r="D34" s="54">
        <v>61281</v>
      </c>
      <c r="E34" s="53"/>
    </row>
    <row r="35" spans="1:8" ht="15" thickBot="1">
      <c r="A35" s="53" t="s">
        <v>75</v>
      </c>
      <c r="B35" s="53" t="s">
        <v>76</v>
      </c>
      <c r="C35" s="54"/>
      <c r="D35" s="54">
        <v>26011</v>
      </c>
      <c r="E35" s="53"/>
    </row>
    <row r="36" spans="1:8" ht="15" thickBot="1">
      <c r="A36" s="53" t="s">
        <v>75</v>
      </c>
      <c r="B36" s="53" t="s">
        <v>76</v>
      </c>
      <c r="C36" s="54"/>
      <c r="D36" s="54">
        <v>33119</v>
      </c>
      <c r="E36" s="53" t="s">
        <v>65</v>
      </c>
    </row>
    <row r="37" spans="1:8" ht="15" thickBot="1">
      <c r="A37" s="53" t="s">
        <v>70</v>
      </c>
      <c r="B37" s="53" t="s">
        <v>71</v>
      </c>
      <c r="C37" s="54"/>
      <c r="D37" s="54">
        <v>24545</v>
      </c>
      <c r="E37" s="53" t="s">
        <v>65</v>
      </c>
    </row>
    <row r="38" spans="1:8" ht="15" customHeight="1" thickBot="1">
      <c r="A38" s="53" t="s">
        <v>83</v>
      </c>
      <c r="B38" s="53" t="s">
        <v>84</v>
      </c>
      <c r="C38" s="54">
        <v>37</v>
      </c>
      <c r="D38" s="54"/>
      <c r="E38" s="53" t="s">
        <v>72</v>
      </c>
    </row>
    <row r="39" spans="1:8" ht="15" customHeight="1" thickBot="1">
      <c r="A39" s="53" t="s">
        <v>73</v>
      </c>
      <c r="B39" s="53" t="s">
        <v>74</v>
      </c>
      <c r="C39" s="54"/>
      <c r="D39" s="54"/>
      <c r="E39" s="53" t="s">
        <v>65</v>
      </c>
    </row>
    <row r="40" spans="1:8" ht="15" thickBot="1">
      <c r="A40" s="53" t="s">
        <v>77</v>
      </c>
      <c r="B40" s="53" t="s">
        <v>78</v>
      </c>
      <c r="C40" s="54"/>
      <c r="D40" s="54"/>
      <c r="E40" s="53" t="s">
        <v>72</v>
      </c>
    </row>
    <row r="41" spans="1:8" ht="15" thickBot="1">
      <c r="A41" s="53" t="s">
        <v>66</v>
      </c>
      <c r="B41" s="53" t="s">
        <v>67</v>
      </c>
      <c r="C41" s="54"/>
      <c r="D41" s="54"/>
      <c r="E41" s="53"/>
    </row>
    <row r="42" spans="1:8" ht="15" thickBot="1">
      <c r="A42" s="53" t="s">
        <v>81</v>
      </c>
      <c r="B42" s="53" t="s">
        <v>82</v>
      </c>
      <c r="C42" s="54"/>
      <c r="D42" s="54"/>
      <c r="E42" s="53"/>
    </row>
    <row r="43" spans="1:8" ht="15" thickBot="1">
      <c r="A43" s="53" t="s">
        <v>75</v>
      </c>
      <c r="B43" s="53" t="s">
        <v>76</v>
      </c>
      <c r="C43" s="54"/>
      <c r="D43" s="54"/>
      <c r="E43" s="53" t="s">
        <v>65</v>
      </c>
    </row>
    <row r="44" spans="1:8" ht="16" thickBot="1">
      <c r="A44" s="53" t="s">
        <v>83</v>
      </c>
      <c r="B44" s="53" t="s">
        <v>84</v>
      </c>
      <c r="C44" s="54">
        <v>96</v>
      </c>
      <c r="D44" s="54">
        <v>48870</v>
      </c>
      <c r="E44" s="53" t="s">
        <v>65</v>
      </c>
      <c r="H44" s="8"/>
    </row>
    <row r="45" spans="1:8" ht="15" thickBot="1">
      <c r="A45" s="53" t="s">
        <v>68</v>
      </c>
      <c r="B45" s="53" t="s">
        <v>69</v>
      </c>
      <c r="C45" s="54">
        <v>253</v>
      </c>
      <c r="D45" s="54"/>
      <c r="E45" s="53" t="s">
        <v>65</v>
      </c>
    </row>
    <row r="46" spans="1:8" ht="15" thickBot="1">
      <c r="A46" s="53" t="s">
        <v>63</v>
      </c>
      <c r="B46" s="53" t="s">
        <v>64</v>
      </c>
      <c r="C46" s="54">
        <v>134</v>
      </c>
      <c r="D46" s="54">
        <v>2629</v>
      </c>
      <c r="E46" s="53" t="s">
        <v>72</v>
      </c>
    </row>
    <row r="47" spans="1:8" ht="15" thickBot="1">
      <c r="A47" s="53" t="s">
        <v>66</v>
      </c>
      <c r="B47" s="53" t="s">
        <v>67</v>
      </c>
      <c r="C47" s="54">
        <v>156</v>
      </c>
      <c r="D47" s="54"/>
      <c r="E47" s="53" t="s">
        <v>65</v>
      </c>
    </row>
    <row r="48" spans="1:8" ht="15" thickBot="1">
      <c r="A48" s="53" t="s">
        <v>81</v>
      </c>
      <c r="B48" s="53" t="s">
        <v>82</v>
      </c>
      <c r="C48" s="54">
        <v>41</v>
      </c>
      <c r="D48" s="54"/>
      <c r="E48" s="53" t="s">
        <v>72</v>
      </c>
    </row>
    <row r="49" spans="1:10" ht="15" thickBot="1">
      <c r="A49" s="53" t="s">
        <v>63</v>
      </c>
      <c r="B49" s="53" t="s">
        <v>64</v>
      </c>
      <c r="C49" s="54">
        <v>21</v>
      </c>
      <c r="D49" s="54">
        <v>11316</v>
      </c>
      <c r="E49" s="53" t="s">
        <v>72</v>
      </c>
    </row>
    <row r="50" spans="1:10" ht="15" thickBot="1">
      <c r="A50" s="53" t="s">
        <v>79</v>
      </c>
      <c r="B50" s="53" t="s">
        <v>80</v>
      </c>
      <c r="C50" s="54"/>
      <c r="D50" s="54"/>
      <c r="E50" s="53"/>
    </row>
    <row r="51" spans="1:10" ht="15" thickBot="1">
      <c r="A51" s="53" t="s">
        <v>68</v>
      </c>
      <c r="B51" s="53" t="s">
        <v>69</v>
      </c>
      <c r="C51" s="54">
        <v>204</v>
      </c>
      <c r="D51" s="54">
        <v>41317</v>
      </c>
      <c r="E51" s="53" t="s">
        <v>65</v>
      </c>
      <c r="H51" s="145" t="s">
        <v>198</v>
      </c>
      <c r="I51" s="146" t="str">
        <f>IF(COUNTIF(J11:J31,"*BENAR*")=COUNTA(J11:J31),"✅ SELESAI ","⏳ BELUM DISELESAIKAN")</f>
        <v>⏳ BELUM DISELESAIKAN</v>
      </c>
      <c r="J51" s="146"/>
    </row>
    <row r="52" spans="1:10" ht="15" thickBot="1">
      <c r="A52" s="53" t="s">
        <v>79</v>
      </c>
      <c r="B52" s="53" t="s">
        <v>80</v>
      </c>
      <c r="C52" s="54"/>
      <c r="D52" s="54">
        <v>58133</v>
      </c>
      <c r="E52" s="53"/>
      <c r="H52" s="145"/>
      <c r="I52" s="146"/>
      <c r="J52" s="146"/>
    </row>
    <row r="53" spans="1:10" ht="15" thickBot="1">
      <c r="A53" s="53" t="s">
        <v>83</v>
      </c>
      <c r="B53" s="53" t="s">
        <v>84</v>
      </c>
      <c r="C53" s="54"/>
      <c r="D53" s="54"/>
      <c r="E53" s="53" t="s">
        <v>72</v>
      </c>
    </row>
    <row r="54" spans="1:10" ht="15" thickBot="1">
      <c r="A54" s="53" t="s">
        <v>73</v>
      </c>
      <c r="B54" s="53" t="s">
        <v>74</v>
      </c>
      <c r="C54" s="54">
        <v>89</v>
      </c>
      <c r="D54" s="54"/>
      <c r="E54" s="53"/>
      <c r="H54" s="142" t="s">
        <v>86</v>
      </c>
      <c r="I54" s="142"/>
    </row>
    <row r="55" spans="1:10" ht="15" thickBot="1">
      <c r="A55" s="53" t="s">
        <v>70</v>
      </c>
      <c r="B55" s="53" t="s">
        <v>71</v>
      </c>
      <c r="C55" s="54"/>
      <c r="D55" s="54">
        <v>43271</v>
      </c>
      <c r="E55" s="53" t="s">
        <v>72</v>
      </c>
      <c r="H55" s="142"/>
      <c r="I55" s="142"/>
    </row>
    <row r="56" spans="1:10" ht="15" thickBot="1">
      <c r="A56" s="53" t="s">
        <v>83</v>
      </c>
      <c r="B56" s="53" t="s">
        <v>84</v>
      </c>
      <c r="C56" s="54"/>
      <c r="D56" s="54"/>
      <c r="E56" s="53"/>
    </row>
    <row r="57" spans="1:10" ht="15" thickBot="1">
      <c r="A57" s="53" t="s">
        <v>63</v>
      </c>
      <c r="B57" s="53" t="s">
        <v>64</v>
      </c>
      <c r="C57" s="54"/>
      <c r="D57" s="54">
        <v>34014</v>
      </c>
      <c r="E57" s="53" t="s">
        <v>65</v>
      </c>
    </row>
    <row r="58" spans="1:10" ht="15" thickBot="1">
      <c r="A58" s="53" t="s">
        <v>77</v>
      </c>
      <c r="B58" s="53" t="s">
        <v>78</v>
      </c>
      <c r="C58" s="54">
        <v>260</v>
      </c>
      <c r="D58" s="54"/>
      <c r="E58" s="53" t="s">
        <v>72</v>
      </c>
    </row>
    <row r="59" spans="1:10" ht="15" thickBot="1">
      <c r="A59" s="53" t="s">
        <v>79</v>
      </c>
      <c r="B59" s="53" t="s">
        <v>80</v>
      </c>
      <c r="C59" s="54">
        <v>298</v>
      </c>
      <c r="D59" s="54"/>
      <c r="E59" s="53" t="s">
        <v>72</v>
      </c>
    </row>
    <row r="60" spans="1:10" ht="15" thickBot="1">
      <c r="A60" s="53" t="s">
        <v>77</v>
      </c>
      <c r="B60" s="53" t="s">
        <v>78</v>
      </c>
      <c r="C60" s="54"/>
      <c r="D60" s="54"/>
      <c r="E60" s="53"/>
    </row>
    <row r="104" spans="1:7">
      <c r="G104" t="s">
        <v>7</v>
      </c>
    </row>
    <row r="105" spans="1:7" ht="21">
      <c r="G105" s="6" t="s">
        <v>8</v>
      </c>
    </row>
    <row r="109" spans="1:7">
      <c r="A109" s="1" t="s">
        <v>15</v>
      </c>
    </row>
    <row r="153" spans="1:1">
      <c r="A153" t="s">
        <v>10</v>
      </c>
    </row>
  </sheetData>
  <sheetProtection algorithmName="SHA-512" hashValue="aiPLGvtbrqG70+FD90n/+1CQb7EKJ95bpg/9UIqTRr/hKhNBGYkvrPD15n4wRfRZ7itUcrWbvArDaT5KsuS74w==" saltValue="QA/utlu2CuQrZmlsl8tSag==" spinCount="100000" sheet="1" objects="1" scenarios="1"/>
  <mergeCells count="36">
    <mergeCell ref="H54:I55"/>
    <mergeCell ref="J26:J28"/>
    <mergeCell ref="G29:G31"/>
    <mergeCell ref="H29:H31"/>
    <mergeCell ref="I29:I31"/>
    <mergeCell ref="J29:J31"/>
    <mergeCell ref="H51:H52"/>
    <mergeCell ref="I51:J52"/>
    <mergeCell ref="G26:G28"/>
    <mergeCell ref="H26:H28"/>
    <mergeCell ref="I26:I28"/>
    <mergeCell ref="G17:G19"/>
    <mergeCell ref="H17:H19"/>
    <mergeCell ref="I17:I19"/>
    <mergeCell ref="G11:G13"/>
    <mergeCell ref="G14:G16"/>
    <mergeCell ref="A1:B1"/>
    <mergeCell ref="C1:E1"/>
    <mergeCell ref="A2:E2"/>
    <mergeCell ref="A3:E3"/>
    <mergeCell ref="A4:E5"/>
    <mergeCell ref="J20:J22"/>
    <mergeCell ref="G23:G25"/>
    <mergeCell ref="H23:H25"/>
    <mergeCell ref="I23:I25"/>
    <mergeCell ref="J23:J25"/>
    <mergeCell ref="G20:G22"/>
    <mergeCell ref="H20:H22"/>
    <mergeCell ref="I20:I22"/>
    <mergeCell ref="J11:J13"/>
    <mergeCell ref="J14:J16"/>
    <mergeCell ref="J17:J19"/>
    <mergeCell ref="H11:H13"/>
    <mergeCell ref="I11:I13"/>
    <mergeCell ref="H14:H16"/>
    <mergeCell ref="I14:I16"/>
  </mergeCells>
  <conditionalFormatting sqref="C1 J2:J37 J43:J50 J53:J1048576">
    <cfRule type="containsText" dxfId="20" priority="3" operator="containsText" text="BENAR. PAKE COUNTA. GAMPANG KAN">
      <formula>NOT(ISERROR(SEARCH("BENAR. PAKE COUNTA. GAMPANG KAN",C1)))</formula>
    </cfRule>
    <cfRule type="containsText" dxfId="19" priority="4" operator="containsText" text="OKAY BENAR KMU UDAH BISA RUMUS COUNT YAA">
      <formula>NOT(ISERROR(SEARCH("OKAY BENAR KMU UDAH BISA RUMUS COUNT YAA",C1)))</formula>
    </cfRule>
    <cfRule type="containsText" dxfId="18" priority="5" operator="containsText" text="OKAY BENAR KMU UDAH BISA RUMUS SUM YAA">
      <formula>NOT(ISERROR(SEARCH("OKAY BENAR KMU UDAH BISA RUMUS SUM YAA",C1)))</formula>
    </cfRule>
  </conditionalFormatting>
  <conditionalFormatting sqref="C1:E1">
    <cfRule type="containsText" dxfId="17" priority="1" operator="containsText" text="BELUM DISELESAIKAN">
      <formula>NOT(ISERROR(SEARCH("BELUM DISELESAIKAN",C1)))</formula>
    </cfRule>
    <cfRule type="containsText" dxfId="16" priority="2" operator="containsText" text="SELESAI">
      <formula>NOT(ISERROR(SEARCH("SELESAI",C1)))</formula>
    </cfRule>
  </conditionalFormatting>
  <conditionalFormatting sqref="J11 J14 J17 J20 J23 J26 J29 J32">
    <cfRule type="containsText" dxfId="15" priority="8" operator="containsText" text="YEAY BENAR">
      <formula>NOT(ISERROR(SEARCH("YEAY BENAR",J11)))</formula>
    </cfRule>
  </conditionalFormatting>
  <conditionalFormatting sqref="J11 J14 J17 J20 J23 J26 J29">
    <cfRule type="containsText" dxfId="14" priority="7" operator="containsText" text="COBA LAGI,JANGAN LUPA FORMAT NYA SESUAI ATURAN DIATAS YA">
      <formula>NOT(ISERROR(SEARCH("COBA LAGI,JANGAN LUPA FORMAT NYA SESUAI ATURAN DIATAS YA",J11)))</formula>
    </cfRule>
  </conditionalFormatting>
  <conditionalFormatting sqref="J23 J26 J29">
    <cfRule type="containsText" dxfId="13" priority="6" operator="containsText" text="YEAY BENAR. KALAU SUDAH SEMUA, SEKARANG KAMU BISA KE LEVEL 2">
      <formula>NOT(ISERROR(SEARCH("YEAY BENAR. KALAU SUDAH SEMUA, SEKARANG KAMU BISA KE LEVEL 2",J23)))</formula>
    </cfRule>
  </conditionalFormatting>
  <hyperlinks>
    <hyperlink ref="G105" location="'LEVEL 1'!A1" display="Kembali Ke Soal" xr:uid="{E4EF8EAD-60DE-4EE9-9569-4B463C909FAB}"/>
    <hyperlink ref="H54:I55" location="'LEVEL 2'!A1" display="KLIK DISINI UNTUK LANJUT LEVEL 2" xr:uid="{A897D999-A115-4CA7-A020-264523FD8E36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8573-2ED0-4D36-AB05-21C67C52D551}">
  <dimension ref="A1:Q85"/>
  <sheetViews>
    <sheetView workbookViewId="0">
      <selection activeCell="J72" sqref="J72"/>
    </sheetView>
  </sheetViews>
  <sheetFormatPr defaultRowHeight="14.5"/>
  <cols>
    <col min="1" max="1" width="4.453125" style="2" bestFit="1" customWidth="1"/>
    <col min="2" max="2" width="11.1796875" bestFit="1" customWidth="1"/>
    <col min="3" max="3" width="9.54296875" bestFit="1" customWidth="1"/>
    <col min="4" max="5" width="8.7265625" style="2"/>
    <col min="6" max="6" width="17.1796875" style="2" bestFit="1" customWidth="1"/>
    <col min="7" max="7" width="17.08984375" style="2" bestFit="1" customWidth="1"/>
    <col min="8" max="8" width="12.90625" bestFit="1" customWidth="1"/>
    <col min="10" max="10" width="9.453125" customWidth="1"/>
    <col min="11" max="11" width="4.81640625" customWidth="1"/>
    <col min="12" max="12" width="37.6328125" customWidth="1"/>
    <col min="13" max="13" width="37.81640625" customWidth="1"/>
    <col min="14" max="14" width="11.81640625" customWidth="1"/>
    <col min="15" max="15" width="2" customWidth="1"/>
    <col min="17" max="17" width="1.7265625" customWidth="1"/>
  </cols>
  <sheetData>
    <row r="1" spans="1:17" ht="22" thickBot="1">
      <c r="B1" s="103" t="s">
        <v>191</v>
      </c>
      <c r="C1" s="103"/>
      <c r="D1" s="103"/>
      <c r="E1" s="103"/>
      <c r="F1" s="103"/>
      <c r="G1" s="103"/>
      <c r="H1" s="103"/>
      <c r="I1" s="108" t="s">
        <v>198</v>
      </c>
      <c r="J1" s="109"/>
      <c r="K1" s="110"/>
      <c r="Q1" s="48" t="str">
        <f>INDEX('LEVEL 1'!I51:J52,1,1)</f>
        <v>⏳ BELUM DISELESAIKAN</v>
      </c>
    </row>
    <row r="2" spans="1:17" ht="14.5" customHeight="1" thickBot="1">
      <c r="B2" s="104" t="s">
        <v>98</v>
      </c>
      <c r="C2" s="104"/>
      <c r="D2" s="104"/>
      <c r="E2" s="104"/>
      <c r="F2" s="104"/>
      <c r="G2" s="104"/>
      <c r="H2" s="104"/>
      <c r="I2" s="107" t="str">
        <f ca="1">IF(L74="kamu sudah menyelesaikan tantangan level 2 ini, ayo lanjut ke level selanjutnya !","✅ SELESAI","⏳ BELUM DISELESAIKAN")</f>
        <v>⏳ BELUM DISELESAIKAN</v>
      </c>
      <c r="J2" s="107"/>
      <c r="K2" s="107"/>
    </row>
    <row r="3" spans="1:17" ht="15" thickBot="1">
      <c r="B3" s="104"/>
      <c r="C3" s="104"/>
      <c r="D3" s="104"/>
      <c r="E3" s="104"/>
      <c r="F3" s="104"/>
      <c r="G3" s="104"/>
      <c r="H3" s="104"/>
      <c r="I3" s="107"/>
      <c r="J3" s="107"/>
      <c r="K3" s="107"/>
    </row>
    <row r="4" spans="1:17" ht="26.5" thickBot="1">
      <c r="B4" s="66" t="s">
        <v>186</v>
      </c>
      <c r="C4" s="30"/>
      <c r="D4" s="30"/>
      <c r="E4" s="30"/>
      <c r="F4" s="30"/>
      <c r="G4" s="30"/>
    </row>
    <row r="5" spans="1:17" ht="15.5" thickTop="1" thickBot="1">
      <c r="B5" s="93" t="s">
        <v>99</v>
      </c>
    </row>
    <row r="6" spans="1:17" ht="15" thickTop="1">
      <c r="B6" t="s">
        <v>254</v>
      </c>
    </row>
    <row r="7" spans="1:17">
      <c r="B7" t="s">
        <v>100</v>
      </c>
    </row>
    <row r="8" spans="1:17">
      <c r="B8" t="s">
        <v>101</v>
      </c>
    </row>
    <row r="9" spans="1:17">
      <c r="B9" t="s">
        <v>102</v>
      </c>
    </row>
    <row r="10" spans="1:17">
      <c r="B10" t="s">
        <v>103</v>
      </c>
    </row>
    <row r="12" spans="1:17" ht="15" thickBot="1"/>
    <row r="13" spans="1:17" ht="5" customHeight="1" thickBot="1">
      <c r="A13" s="31"/>
      <c r="B13" s="32"/>
      <c r="C13" s="32"/>
      <c r="D13" s="33"/>
      <c r="E13" s="33"/>
      <c r="F13" s="33"/>
      <c r="G13" s="33"/>
      <c r="H13" s="32"/>
      <c r="I13" s="32"/>
      <c r="J13" s="32"/>
      <c r="K13" s="32"/>
      <c r="L13" s="32"/>
      <c r="M13" s="32"/>
      <c r="N13" s="34"/>
    </row>
    <row r="16" spans="1:17" ht="15" thickBot="1"/>
    <row r="17" spans="1:13" ht="15.5" thickTop="1" thickBot="1">
      <c r="A17" s="69"/>
      <c r="B17" s="195"/>
      <c r="C17" s="195"/>
      <c r="D17" s="69"/>
      <c r="E17" s="69"/>
      <c r="F17" s="196" t="s">
        <v>104</v>
      </c>
      <c r="G17" s="197">
        <v>110000</v>
      </c>
      <c r="H17" s="195"/>
    </row>
    <row r="18" spans="1:13" ht="15.5" thickTop="1" thickBot="1">
      <c r="A18" s="69"/>
      <c r="B18" s="195"/>
      <c r="C18" s="195"/>
      <c r="D18" s="69"/>
      <c r="E18" s="69"/>
      <c r="F18" s="69"/>
      <c r="G18" s="69"/>
      <c r="H18" s="195"/>
      <c r="L18" s="93" t="s">
        <v>1</v>
      </c>
    </row>
    <row r="19" spans="1:13" ht="15.5" thickTop="1" thickBot="1">
      <c r="A19" s="196" t="s">
        <v>9</v>
      </c>
      <c r="B19" s="198" t="s">
        <v>60</v>
      </c>
      <c r="C19" s="198" t="s">
        <v>61</v>
      </c>
      <c r="D19" s="196" t="s">
        <v>5</v>
      </c>
      <c r="E19" s="196" t="s">
        <v>3</v>
      </c>
      <c r="F19" s="199" t="s">
        <v>105</v>
      </c>
      <c r="G19" s="199" t="s">
        <v>106</v>
      </c>
      <c r="H19" s="198" t="s">
        <v>62</v>
      </c>
      <c r="K19" s="93" t="s">
        <v>9</v>
      </c>
      <c r="L19" s="93" t="s">
        <v>107</v>
      </c>
      <c r="M19" s="93" t="s">
        <v>108</v>
      </c>
    </row>
    <row r="20" spans="1:13" ht="15.5" thickTop="1" thickBot="1">
      <c r="A20" s="197">
        <v>1</v>
      </c>
      <c r="B20" s="200" t="s">
        <v>63</v>
      </c>
      <c r="C20" s="200" t="s">
        <v>109</v>
      </c>
      <c r="D20" s="197">
        <v>179</v>
      </c>
      <c r="E20" s="197">
        <v>12700</v>
      </c>
      <c r="F20" s="61"/>
      <c r="G20" s="61"/>
      <c r="H20" s="200" t="s">
        <v>65</v>
      </c>
      <c r="K20" s="35">
        <v>1</v>
      </c>
      <c r="L20" s="62" t="str">
        <f ca="1">IFERROR(IF(F20="","Ayo isi dulu jawabanmu di kolom F",IF(AND(ISNUMBER(SEARCH("D"&amp;ROW(),_xlfn.FORMULATEXT(F20))),ISNUMBER(SEARCH("E"&amp;ROW(),_xlfn.FORMULATEXT(F20)))),IF(F20=D20*E20,"YEAY BETUL","MASIH SALAH PERHATIKAN RUMUSNYA"),"rumusnya ambil sel yg salah tuh")),"rumusnya ambil sel yg salah tuh")</f>
        <v>Ayo isi dulu jawabanmu di kolom F</v>
      </c>
      <c r="M20" s="62" t="str">
        <f ca="1">IFERROR(IF(G20="","ayo isi dulu di kolom G",IF(_xlfn.ISFORMULA(G20)=FALSE,"ayo isi dulu di kolom G",IF(AND(ISNUMBER(SEARCH("F"&amp;ROW(),_xlfn.FORMULATEXT(G20))),ISNUMBER(SEARCH("G",_xlfn.FORMULATEXT(G20))),ISNUMBER(SEARCH("17",_xlfn.FORMULATEXT(G20)))),IF(ISNUMBER(SEARCH("$",_xlfn.FORMULATEXT(G20))),IF(G20=F20+$G$17,"YEAY BETUL","MASIH SALAH PERHATIKAN RUMUSNYA"),"kamu kelupaan tanda $ nya"),"rumusnya ambil sel yg salah tuh"))),"rumusnya ambil sel yg salah tuh")</f>
        <v>ayo isi dulu di kolom G</v>
      </c>
    </row>
    <row r="21" spans="1:13" ht="15.5" thickTop="1" thickBot="1">
      <c r="A21" s="197">
        <v>2</v>
      </c>
      <c r="B21" s="200" t="s">
        <v>68</v>
      </c>
      <c r="C21" s="200" t="s">
        <v>110</v>
      </c>
      <c r="D21" s="197">
        <v>59</v>
      </c>
      <c r="E21" s="197">
        <v>50129</v>
      </c>
      <c r="F21" s="61"/>
      <c r="G21" s="61"/>
      <c r="H21" s="200" t="s">
        <v>72</v>
      </c>
      <c r="K21" s="35">
        <v>2</v>
      </c>
      <c r="L21" s="62" t="str">
        <f t="shared" ref="L21:L69" ca="1" si="0">IFERROR(IF(F21="","Ayo isi dulu jawabanmu di kolom F",IF(AND(ISNUMBER(SEARCH("D"&amp;ROW(),_xlfn.FORMULATEXT(F21))),ISNUMBER(SEARCH("E"&amp;ROW(),_xlfn.FORMULATEXT(F21)))),IF(F21=D21*E21,"YEAY BETUL","COBA LAGI,PERHATIKAN SOAL"),"rumusnya ambil sel yg salah tuh")),"rumusnya ambil sel yg salah tuh")</f>
        <v>Ayo isi dulu jawabanmu di kolom F</v>
      </c>
      <c r="M21" s="62" t="str">
        <f t="shared" ref="M21:M69" ca="1" si="1">IFERROR(IF(G21="","ayo isi dulu di kolom G",IF(_xlfn.ISFORMULA(G21)=FALSE,"ayo isi dulu di kolom G",IF(AND(ISNUMBER(SEARCH("F"&amp;ROW(),_xlfn.FORMULATEXT(G21))),ISNUMBER(SEARCH("G",_xlfn.FORMULATEXT(G21))),ISNUMBER(SEARCH("17",_xlfn.FORMULATEXT(G21)))),IF(ISNUMBER(SEARCH("$",_xlfn.FORMULATEXT(G21))),IF(G21=F21+$G$17,"YEAY BETUL","COBA ULANG LAGI,PERHATIKAN SOAL"),"kamu kelupaan tanda $ nya"),"rumusnya ambil sel yg salah tuh"))),"rumusnya ambil sel yg salah tuh")</f>
        <v>ayo isi dulu di kolom G</v>
      </c>
    </row>
    <row r="22" spans="1:13" ht="15.5" thickTop="1" thickBot="1">
      <c r="A22" s="197">
        <v>3</v>
      </c>
      <c r="B22" s="200" t="s">
        <v>68</v>
      </c>
      <c r="C22" s="200" t="s">
        <v>110</v>
      </c>
      <c r="D22" s="197">
        <v>238</v>
      </c>
      <c r="E22" s="197">
        <v>4968</v>
      </c>
      <c r="F22" s="61"/>
      <c r="G22" s="61"/>
      <c r="H22" s="200" t="s">
        <v>72</v>
      </c>
      <c r="K22" s="35">
        <v>3</v>
      </c>
      <c r="L22" s="62" t="str">
        <f t="shared" ca="1" si="0"/>
        <v>Ayo isi dulu jawabanmu di kolom F</v>
      </c>
      <c r="M22" s="62" t="str">
        <f t="shared" ca="1" si="1"/>
        <v>ayo isi dulu di kolom G</v>
      </c>
    </row>
    <row r="23" spans="1:13" ht="15.5" thickTop="1" thickBot="1">
      <c r="A23" s="197">
        <v>4</v>
      </c>
      <c r="B23" s="200" t="s">
        <v>63</v>
      </c>
      <c r="C23" s="200" t="s">
        <v>109</v>
      </c>
      <c r="D23" s="197">
        <v>193</v>
      </c>
      <c r="E23" s="197">
        <v>61843</v>
      </c>
      <c r="F23" s="61"/>
      <c r="G23" s="61"/>
      <c r="H23" s="200" t="s">
        <v>72</v>
      </c>
      <c r="K23" s="35">
        <v>4</v>
      </c>
      <c r="L23" s="62" t="str">
        <f t="shared" ca="1" si="0"/>
        <v>Ayo isi dulu jawabanmu di kolom F</v>
      </c>
      <c r="M23" s="62" t="str">
        <f t="shared" ca="1" si="1"/>
        <v>ayo isi dulu di kolom G</v>
      </c>
    </row>
    <row r="24" spans="1:13" ht="15.5" thickTop="1" thickBot="1">
      <c r="A24" s="197">
        <v>5</v>
      </c>
      <c r="B24" s="200" t="s">
        <v>75</v>
      </c>
      <c r="C24" s="200" t="s">
        <v>111</v>
      </c>
      <c r="D24" s="197">
        <v>238</v>
      </c>
      <c r="E24" s="197">
        <v>56391</v>
      </c>
      <c r="F24" s="61"/>
      <c r="G24" s="61"/>
      <c r="H24" s="200" t="s">
        <v>65</v>
      </c>
      <c r="K24" s="35">
        <v>5</v>
      </c>
      <c r="L24" s="62" t="str">
        <f t="shared" ca="1" si="0"/>
        <v>Ayo isi dulu jawabanmu di kolom F</v>
      </c>
      <c r="M24" s="62" t="str">
        <f t="shared" ca="1" si="1"/>
        <v>ayo isi dulu di kolom G</v>
      </c>
    </row>
    <row r="25" spans="1:13" ht="15.5" thickTop="1" thickBot="1">
      <c r="A25" s="197">
        <v>6</v>
      </c>
      <c r="B25" s="200" t="s">
        <v>75</v>
      </c>
      <c r="C25" s="200" t="s">
        <v>111</v>
      </c>
      <c r="D25" s="197">
        <v>31</v>
      </c>
      <c r="E25" s="197">
        <v>63140</v>
      </c>
      <c r="F25" s="61"/>
      <c r="G25" s="61"/>
      <c r="H25" s="200" t="s">
        <v>72</v>
      </c>
      <c r="K25" s="35">
        <v>6</v>
      </c>
      <c r="L25" s="62" t="str">
        <f t="shared" ca="1" si="0"/>
        <v>Ayo isi dulu jawabanmu di kolom F</v>
      </c>
      <c r="M25" s="62" t="str">
        <f t="shared" ca="1" si="1"/>
        <v>ayo isi dulu di kolom G</v>
      </c>
    </row>
    <row r="26" spans="1:13" ht="15.5" thickTop="1" thickBot="1">
      <c r="A26" s="197">
        <v>7</v>
      </c>
      <c r="B26" s="200" t="s">
        <v>77</v>
      </c>
      <c r="C26" s="200" t="s">
        <v>112</v>
      </c>
      <c r="D26" s="197">
        <v>260</v>
      </c>
      <c r="E26" s="197">
        <v>18063</v>
      </c>
      <c r="F26" s="61"/>
      <c r="G26" s="61"/>
      <c r="H26" s="200" t="s">
        <v>72</v>
      </c>
      <c r="K26" s="35">
        <v>7</v>
      </c>
      <c r="L26" s="62" t="str">
        <f t="shared" ca="1" si="0"/>
        <v>Ayo isi dulu jawabanmu di kolom F</v>
      </c>
      <c r="M26" s="62" t="str">
        <f t="shared" ca="1" si="1"/>
        <v>ayo isi dulu di kolom G</v>
      </c>
    </row>
    <row r="27" spans="1:13" ht="15.5" thickTop="1" thickBot="1">
      <c r="A27" s="197">
        <v>8</v>
      </c>
      <c r="B27" s="200" t="s">
        <v>73</v>
      </c>
      <c r="C27" s="200" t="s">
        <v>113</v>
      </c>
      <c r="D27" s="197">
        <v>141</v>
      </c>
      <c r="E27" s="197">
        <v>55110</v>
      </c>
      <c r="F27" s="61"/>
      <c r="G27" s="61"/>
      <c r="H27" s="200" t="s">
        <v>72</v>
      </c>
      <c r="K27" s="35">
        <v>8</v>
      </c>
      <c r="L27" s="62" t="str">
        <f t="shared" ca="1" si="0"/>
        <v>Ayo isi dulu jawabanmu di kolom F</v>
      </c>
      <c r="M27" s="62" t="str">
        <f t="shared" ca="1" si="1"/>
        <v>ayo isi dulu di kolom G</v>
      </c>
    </row>
    <row r="28" spans="1:13" ht="15.5" thickTop="1" thickBot="1">
      <c r="A28" s="197">
        <v>9</v>
      </c>
      <c r="B28" s="200" t="s">
        <v>81</v>
      </c>
      <c r="C28" s="200" t="s">
        <v>114</v>
      </c>
      <c r="D28" s="197">
        <v>290</v>
      </c>
      <c r="E28" s="197">
        <v>32861</v>
      </c>
      <c r="F28" s="61"/>
      <c r="G28" s="61"/>
      <c r="H28" s="200" t="s">
        <v>65</v>
      </c>
      <c r="K28" s="35">
        <v>9</v>
      </c>
      <c r="L28" s="62" t="str">
        <f t="shared" ca="1" si="0"/>
        <v>Ayo isi dulu jawabanmu di kolom F</v>
      </c>
      <c r="M28" s="62" t="str">
        <f t="shared" ca="1" si="1"/>
        <v>ayo isi dulu di kolom G</v>
      </c>
    </row>
    <row r="29" spans="1:13" ht="15.5" thickTop="1" thickBot="1">
      <c r="A29" s="197">
        <v>10</v>
      </c>
      <c r="B29" s="200" t="s">
        <v>83</v>
      </c>
      <c r="C29" s="200" t="s">
        <v>115</v>
      </c>
      <c r="D29" s="197">
        <v>31</v>
      </c>
      <c r="E29" s="197">
        <v>62138</v>
      </c>
      <c r="F29" s="61"/>
      <c r="G29" s="61"/>
      <c r="H29" s="200" t="s">
        <v>72</v>
      </c>
      <c r="K29" s="35">
        <v>10</v>
      </c>
      <c r="L29" s="62" t="str">
        <f t="shared" ca="1" si="0"/>
        <v>Ayo isi dulu jawabanmu di kolom F</v>
      </c>
      <c r="M29" s="62" t="str">
        <f t="shared" ca="1" si="1"/>
        <v>ayo isi dulu di kolom G</v>
      </c>
    </row>
    <row r="30" spans="1:13" ht="15.5" thickTop="1" thickBot="1">
      <c r="A30" s="197">
        <v>11</v>
      </c>
      <c r="B30" s="200" t="s">
        <v>81</v>
      </c>
      <c r="C30" s="200" t="s">
        <v>114</v>
      </c>
      <c r="D30" s="197">
        <v>248</v>
      </c>
      <c r="E30" s="197">
        <v>41170</v>
      </c>
      <c r="F30" s="61"/>
      <c r="G30" s="61"/>
      <c r="H30" s="200" t="s">
        <v>72</v>
      </c>
      <c r="K30" s="35">
        <v>11</v>
      </c>
      <c r="L30" s="62" t="str">
        <f t="shared" ca="1" si="0"/>
        <v>Ayo isi dulu jawabanmu di kolom F</v>
      </c>
      <c r="M30" s="62" t="str">
        <f t="shared" ca="1" si="1"/>
        <v>ayo isi dulu di kolom G</v>
      </c>
    </row>
    <row r="31" spans="1:13" ht="15.5" thickTop="1" thickBot="1">
      <c r="A31" s="197">
        <v>12</v>
      </c>
      <c r="B31" s="200" t="s">
        <v>81</v>
      </c>
      <c r="C31" s="200" t="s">
        <v>114</v>
      </c>
      <c r="D31" s="197">
        <v>17</v>
      </c>
      <c r="E31" s="197">
        <v>3391</v>
      </c>
      <c r="F31" s="61"/>
      <c r="G31" s="61"/>
      <c r="H31" s="200" t="s">
        <v>65</v>
      </c>
      <c r="K31" s="35">
        <v>12</v>
      </c>
      <c r="L31" s="62" t="str">
        <f t="shared" ca="1" si="0"/>
        <v>Ayo isi dulu jawabanmu di kolom F</v>
      </c>
      <c r="M31" s="62" t="str">
        <f t="shared" ca="1" si="1"/>
        <v>ayo isi dulu di kolom G</v>
      </c>
    </row>
    <row r="32" spans="1:13" ht="15.5" thickTop="1" thickBot="1">
      <c r="A32" s="197">
        <v>13</v>
      </c>
      <c r="B32" s="200" t="s">
        <v>75</v>
      </c>
      <c r="C32" s="200" t="s">
        <v>111</v>
      </c>
      <c r="D32" s="197">
        <v>289</v>
      </c>
      <c r="E32" s="197">
        <v>54438</v>
      </c>
      <c r="F32" s="61"/>
      <c r="G32" s="61"/>
      <c r="H32" s="200" t="s">
        <v>65</v>
      </c>
      <c r="K32" s="35">
        <v>13</v>
      </c>
      <c r="L32" s="62" t="str">
        <f t="shared" ca="1" si="0"/>
        <v>Ayo isi dulu jawabanmu di kolom F</v>
      </c>
      <c r="M32" s="62" t="str">
        <f t="shared" ca="1" si="1"/>
        <v>ayo isi dulu di kolom G</v>
      </c>
    </row>
    <row r="33" spans="1:13" ht="15.5" thickTop="1" thickBot="1">
      <c r="A33" s="197">
        <v>14</v>
      </c>
      <c r="B33" s="200" t="s">
        <v>70</v>
      </c>
      <c r="C33" s="200" t="s">
        <v>116</v>
      </c>
      <c r="D33" s="197">
        <v>260</v>
      </c>
      <c r="E33" s="197">
        <v>43376</v>
      </c>
      <c r="F33" s="61"/>
      <c r="G33" s="61"/>
      <c r="H33" s="200" t="s">
        <v>65</v>
      </c>
      <c r="K33" s="35">
        <v>14</v>
      </c>
      <c r="L33" s="62" t="str">
        <f t="shared" ca="1" si="0"/>
        <v>Ayo isi dulu jawabanmu di kolom F</v>
      </c>
      <c r="M33" s="62" t="str">
        <f t="shared" ca="1" si="1"/>
        <v>ayo isi dulu di kolom G</v>
      </c>
    </row>
    <row r="34" spans="1:13" ht="15.5" thickTop="1" thickBot="1">
      <c r="A34" s="197">
        <v>15</v>
      </c>
      <c r="B34" s="200" t="s">
        <v>68</v>
      </c>
      <c r="C34" s="200" t="s">
        <v>110</v>
      </c>
      <c r="D34" s="197">
        <v>299</v>
      </c>
      <c r="E34" s="197">
        <v>41167</v>
      </c>
      <c r="F34" s="61"/>
      <c r="G34" s="61"/>
      <c r="H34" s="200" t="s">
        <v>72</v>
      </c>
      <c r="K34" s="35">
        <v>15</v>
      </c>
      <c r="L34" s="62" t="str">
        <f t="shared" ca="1" si="0"/>
        <v>Ayo isi dulu jawabanmu di kolom F</v>
      </c>
      <c r="M34" s="62" t="str">
        <f t="shared" ca="1" si="1"/>
        <v>ayo isi dulu di kolom G</v>
      </c>
    </row>
    <row r="35" spans="1:13" ht="15.5" thickTop="1" thickBot="1">
      <c r="A35" s="197">
        <v>16</v>
      </c>
      <c r="B35" s="200" t="s">
        <v>73</v>
      </c>
      <c r="C35" s="200" t="s">
        <v>113</v>
      </c>
      <c r="D35" s="197">
        <v>187</v>
      </c>
      <c r="E35" s="197">
        <v>59112</v>
      </c>
      <c r="F35" s="61"/>
      <c r="G35" s="61"/>
      <c r="H35" s="200" t="s">
        <v>65</v>
      </c>
      <c r="K35" s="35">
        <v>16</v>
      </c>
      <c r="L35" s="62" t="str">
        <f t="shared" ca="1" si="0"/>
        <v>Ayo isi dulu jawabanmu di kolom F</v>
      </c>
      <c r="M35" s="62" t="str">
        <f t="shared" ca="1" si="1"/>
        <v>ayo isi dulu di kolom G</v>
      </c>
    </row>
    <row r="36" spans="1:13" ht="15.5" thickTop="1" thickBot="1">
      <c r="A36" s="197">
        <v>17</v>
      </c>
      <c r="B36" s="200" t="s">
        <v>81</v>
      </c>
      <c r="C36" s="200" t="s">
        <v>114</v>
      </c>
      <c r="D36" s="197">
        <v>286</v>
      </c>
      <c r="E36" s="197">
        <v>22464</v>
      </c>
      <c r="F36" s="61"/>
      <c r="G36" s="61"/>
      <c r="H36" s="200" t="s">
        <v>72</v>
      </c>
      <c r="K36" s="35">
        <v>17</v>
      </c>
      <c r="L36" s="62" t="str">
        <f t="shared" ca="1" si="0"/>
        <v>Ayo isi dulu jawabanmu di kolom F</v>
      </c>
      <c r="M36" s="62" t="str">
        <f t="shared" ca="1" si="1"/>
        <v>ayo isi dulu di kolom G</v>
      </c>
    </row>
    <row r="37" spans="1:13" ht="15.5" thickTop="1" thickBot="1">
      <c r="A37" s="197">
        <v>18</v>
      </c>
      <c r="B37" s="200" t="s">
        <v>70</v>
      </c>
      <c r="C37" s="200" t="s">
        <v>116</v>
      </c>
      <c r="D37" s="197">
        <v>67</v>
      </c>
      <c r="E37" s="197">
        <v>16259</v>
      </c>
      <c r="F37" s="61"/>
      <c r="G37" s="61"/>
      <c r="H37" s="200" t="s">
        <v>72</v>
      </c>
      <c r="K37" s="35">
        <v>18</v>
      </c>
      <c r="L37" s="62" t="str">
        <f t="shared" ca="1" si="0"/>
        <v>Ayo isi dulu jawabanmu di kolom F</v>
      </c>
      <c r="M37" s="62" t="str">
        <f t="shared" ca="1" si="1"/>
        <v>ayo isi dulu di kolom G</v>
      </c>
    </row>
    <row r="38" spans="1:13" ht="15.5" thickTop="1" thickBot="1">
      <c r="A38" s="197">
        <v>19</v>
      </c>
      <c r="B38" s="200" t="s">
        <v>75</v>
      </c>
      <c r="C38" s="200" t="s">
        <v>111</v>
      </c>
      <c r="D38" s="197">
        <v>23</v>
      </c>
      <c r="E38" s="197">
        <v>11877</v>
      </c>
      <c r="F38" s="61"/>
      <c r="G38" s="61"/>
      <c r="H38" s="200" t="s">
        <v>72</v>
      </c>
      <c r="K38" s="35">
        <v>19</v>
      </c>
      <c r="L38" s="62" t="str">
        <f t="shared" ca="1" si="0"/>
        <v>Ayo isi dulu jawabanmu di kolom F</v>
      </c>
      <c r="M38" s="62" t="str">
        <f t="shared" ca="1" si="1"/>
        <v>ayo isi dulu di kolom G</v>
      </c>
    </row>
    <row r="39" spans="1:13" ht="15.5" thickTop="1" thickBot="1">
      <c r="A39" s="197">
        <v>20</v>
      </c>
      <c r="B39" s="200" t="s">
        <v>75</v>
      </c>
      <c r="C39" s="200" t="s">
        <v>111</v>
      </c>
      <c r="D39" s="197">
        <v>142</v>
      </c>
      <c r="E39" s="197">
        <v>19766</v>
      </c>
      <c r="F39" s="61"/>
      <c r="G39" s="61"/>
      <c r="H39" s="200" t="s">
        <v>65</v>
      </c>
      <c r="K39" s="35">
        <v>20</v>
      </c>
      <c r="L39" s="62" t="str">
        <f t="shared" ca="1" si="0"/>
        <v>Ayo isi dulu jawabanmu di kolom F</v>
      </c>
      <c r="M39" s="62" t="str">
        <f t="shared" ca="1" si="1"/>
        <v>ayo isi dulu di kolom G</v>
      </c>
    </row>
    <row r="40" spans="1:13" ht="15.5" thickTop="1" thickBot="1">
      <c r="A40" s="197">
        <v>21</v>
      </c>
      <c r="B40" s="200" t="s">
        <v>73</v>
      </c>
      <c r="C40" s="200" t="s">
        <v>113</v>
      </c>
      <c r="D40" s="197">
        <v>279</v>
      </c>
      <c r="E40" s="197">
        <v>19656</v>
      </c>
      <c r="F40" s="61"/>
      <c r="G40" s="61"/>
      <c r="H40" s="200" t="s">
        <v>72</v>
      </c>
      <c r="K40" s="35">
        <v>21</v>
      </c>
      <c r="L40" s="62" t="str">
        <f t="shared" ca="1" si="0"/>
        <v>Ayo isi dulu jawabanmu di kolom F</v>
      </c>
      <c r="M40" s="62" t="str">
        <f t="shared" ca="1" si="1"/>
        <v>ayo isi dulu di kolom G</v>
      </c>
    </row>
    <row r="41" spans="1:13" ht="15.5" thickTop="1" thickBot="1">
      <c r="A41" s="197">
        <v>22</v>
      </c>
      <c r="B41" s="200" t="s">
        <v>63</v>
      </c>
      <c r="C41" s="200" t="s">
        <v>109</v>
      </c>
      <c r="D41" s="197">
        <v>108</v>
      </c>
      <c r="E41" s="197">
        <v>11482</v>
      </c>
      <c r="F41" s="61"/>
      <c r="G41" s="61"/>
      <c r="H41" s="200" t="s">
        <v>72</v>
      </c>
      <c r="K41" s="35">
        <v>22</v>
      </c>
      <c r="L41" s="62" t="str">
        <f t="shared" ca="1" si="0"/>
        <v>Ayo isi dulu jawabanmu di kolom F</v>
      </c>
      <c r="M41" s="62" t="str">
        <f t="shared" ca="1" si="1"/>
        <v>ayo isi dulu di kolom G</v>
      </c>
    </row>
    <row r="42" spans="1:13" ht="15.5" thickTop="1" thickBot="1">
      <c r="A42" s="197">
        <v>23</v>
      </c>
      <c r="B42" s="200" t="s">
        <v>77</v>
      </c>
      <c r="C42" s="200" t="s">
        <v>112</v>
      </c>
      <c r="D42" s="197">
        <v>109</v>
      </c>
      <c r="E42" s="197">
        <v>34566</v>
      </c>
      <c r="F42" s="61"/>
      <c r="G42" s="61"/>
      <c r="H42" s="200" t="s">
        <v>65</v>
      </c>
      <c r="K42" s="35">
        <v>23</v>
      </c>
      <c r="L42" s="62" t="str">
        <f t="shared" ca="1" si="0"/>
        <v>Ayo isi dulu jawabanmu di kolom F</v>
      </c>
      <c r="M42" s="62" t="str">
        <f t="shared" ca="1" si="1"/>
        <v>ayo isi dulu di kolom G</v>
      </c>
    </row>
    <row r="43" spans="1:13" ht="15.5" thickTop="1" thickBot="1">
      <c r="A43" s="197">
        <v>24</v>
      </c>
      <c r="B43" s="200" t="s">
        <v>70</v>
      </c>
      <c r="C43" s="200" t="s">
        <v>116</v>
      </c>
      <c r="D43" s="197">
        <v>228</v>
      </c>
      <c r="E43" s="197">
        <v>65350</v>
      </c>
      <c r="F43" s="61"/>
      <c r="G43" s="61"/>
      <c r="H43" s="200" t="s">
        <v>65</v>
      </c>
      <c r="K43" s="35">
        <v>24</v>
      </c>
      <c r="L43" s="62" t="str">
        <f t="shared" ca="1" si="0"/>
        <v>Ayo isi dulu jawabanmu di kolom F</v>
      </c>
      <c r="M43" s="62" t="str">
        <f t="shared" ca="1" si="1"/>
        <v>ayo isi dulu di kolom G</v>
      </c>
    </row>
    <row r="44" spans="1:13" ht="15.5" thickTop="1" thickBot="1">
      <c r="A44" s="197">
        <v>25</v>
      </c>
      <c r="B44" s="200" t="s">
        <v>77</v>
      </c>
      <c r="C44" s="200" t="s">
        <v>112</v>
      </c>
      <c r="D44" s="197">
        <v>285</v>
      </c>
      <c r="E44" s="197">
        <v>48700</v>
      </c>
      <c r="F44" s="61"/>
      <c r="G44" s="61"/>
      <c r="H44" s="200" t="s">
        <v>72</v>
      </c>
      <c r="K44" s="35">
        <v>25</v>
      </c>
      <c r="L44" s="62" t="str">
        <f t="shared" ca="1" si="0"/>
        <v>Ayo isi dulu jawabanmu di kolom F</v>
      </c>
      <c r="M44" s="62" t="str">
        <f t="shared" ca="1" si="1"/>
        <v>ayo isi dulu di kolom G</v>
      </c>
    </row>
    <row r="45" spans="1:13" ht="15.5" thickTop="1" thickBot="1">
      <c r="A45" s="197">
        <v>26</v>
      </c>
      <c r="B45" s="200" t="s">
        <v>73</v>
      </c>
      <c r="C45" s="200" t="s">
        <v>113</v>
      </c>
      <c r="D45" s="197">
        <v>154</v>
      </c>
      <c r="E45" s="197">
        <v>35630</v>
      </c>
      <c r="F45" s="61"/>
      <c r="G45" s="61"/>
      <c r="H45" s="200" t="s">
        <v>65</v>
      </c>
      <c r="K45" s="35">
        <v>26</v>
      </c>
      <c r="L45" s="62" t="str">
        <f t="shared" ca="1" si="0"/>
        <v>Ayo isi dulu jawabanmu di kolom F</v>
      </c>
      <c r="M45" s="62" t="str">
        <f t="shared" ca="1" si="1"/>
        <v>ayo isi dulu di kolom G</v>
      </c>
    </row>
    <row r="46" spans="1:13" ht="15.5" thickTop="1" thickBot="1">
      <c r="A46" s="197">
        <v>27</v>
      </c>
      <c r="B46" s="200" t="s">
        <v>70</v>
      </c>
      <c r="C46" s="200" t="s">
        <v>116</v>
      </c>
      <c r="D46" s="197">
        <v>249</v>
      </c>
      <c r="E46" s="197">
        <v>6292</v>
      </c>
      <c r="F46" s="61"/>
      <c r="G46" s="61"/>
      <c r="H46" s="200" t="s">
        <v>72</v>
      </c>
      <c r="K46" s="35">
        <v>27</v>
      </c>
      <c r="L46" s="62" t="str">
        <f t="shared" ca="1" si="0"/>
        <v>Ayo isi dulu jawabanmu di kolom F</v>
      </c>
      <c r="M46" s="62" t="str">
        <f t="shared" ca="1" si="1"/>
        <v>ayo isi dulu di kolom G</v>
      </c>
    </row>
    <row r="47" spans="1:13" ht="15.5" thickTop="1" thickBot="1">
      <c r="A47" s="197">
        <v>28</v>
      </c>
      <c r="B47" s="200" t="s">
        <v>73</v>
      </c>
      <c r="C47" s="200" t="s">
        <v>113</v>
      </c>
      <c r="D47" s="197">
        <v>254</v>
      </c>
      <c r="E47" s="197">
        <v>46698</v>
      </c>
      <c r="F47" s="61"/>
      <c r="G47" s="61"/>
      <c r="H47" s="200" t="s">
        <v>72</v>
      </c>
      <c r="K47" s="35">
        <v>28</v>
      </c>
      <c r="L47" s="62" t="str">
        <f t="shared" ca="1" si="0"/>
        <v>Ayo isi dulu jawabanmu di kolom F</v>
      </c>
      <c r="M47" s="62" t="str">
        <f t="shared" ca="1" si="1"/>
        <v>ayo isi dulu di kolom G</v>
      </c>
    </row>
    <row r="48" spans="1:13" ht="15.5" thickTop="1" thickBot="1">
      <c r="A48" s="197">
        <v>29</v>
      </c>
      <c r="B48" s="200" t="s">
        <v>63</v>
      </c>
      <c r="C48" s="200" t="s">
        <v>109</v>
      </c>
      <c r="D48" s="197">
        <v>115</v>
      </c>
      <c r="E48" s="197">
        <v>45265</v>
      </c>
      <c r="F48" s="61"/>
      <c r="G48" s="61"/>
      <c r="H48" s="200" t="s">
        <v>72</v>
      </c>
      <c r="K48" s="35">
        <v>29</v>
      </c>
      <c r="L48" s="62" t="str">
        <f t="shared" ca="1" si="0"/>
        <v>Ayo isi dulu jawabanmu di kolom F</v>
      </c>
      <c r="M48" s="62" t="str">
        <f t="shared" ca="1" si="1"/>
        <v>ayo isi dulu di kolom G</v>
      </c>
    </row>
    <row r="49" spans="1:13" ht="15.5" thickTop="1" thickBot="1">
      <c r="A49" s="197">
        <v>30</v>
      </c>
      <c r="B49" s="200" t="s">
        <v>73</v>
      </c>
      <c r="C49" s="200" t="s">
        <v>113</v>
      </c>
      <c r="D49" s="197">
        <v>256</v>
      </c>
      <c r="E49" s="197">
        <v>29428</v>
      </c>
      <c r="F49" s="61"/>
      <c r="G49" s="61"/>
      <c r="H49" s="200" t="s">
        <v>72</v>
      </c>
      <c r="K49" s="35">
        <v>30</v>
      </c>
      <c r="L49" s="62" t="str">
        <f t="shared" ca="1" si="0"/>
        <v>Ayo isi dulu jawabanmu di kolom F</v>
      </c>
      <c r="M49" s="62" t="str">
        <f t="shared" ca="1" si="1"/>
        <v>ayo isi dulu di kolom G</v>
      </c>
    </row>
    <row r="50" spans="1:13" ht="15.5" thickTop="1" thickBot="1">
      <c r="A50" s="197">
        <v>31</v>
      </c>
      <c r="B50" s="200" t="s">
        <v>68</v>
      </c>
      <c r="C50" s="200" t="s">
        <v>110</v>
      </c>
      <c r="D50" s="197">
        <v>253</v>
      </c>
      <c r="E50" s="197">
        <v>64693</v>
      </c>
      <c r="F50" s="61"/>
      <c r="G50" s="61"/>
      <c r="H50" s="200" t="s">
        <v>65</v>
      </c>
      <c r="K50" s="35">
        <v>31</v>
      </c>
      <c r="L50" s="62" t="str">
        <f t="shared" ca="1" si="0"/>
        <v>Ayo isi dulu jawabanmu di kolom F</v>
      </c>
      <c r="M50" s="62" t="str">
        <f t="shared" ca="1" si="1"/>
        <v>ayo isi dulu di kolom G</v>
      </c>
    </row>
    <row r="51" spans="1:13" ht="15.5" thickTop="1" thickBot="1">
      <c r="A51" s="197">
        <v>32</v>
      </c>
      <c r="B51" s="200" t="s">
        <v>63</v>
      </c>
      <c r="C51" s="200" t="s">
        <v>109</v>
      </c>
      <c r="D51" s="197">
        <v>37</v>
      </c>
      <c r="E51" s="197">
        <v>56806</v>
      </c>
      <c r="F51" s="61"/>
      <c r="G51" s="61"/>
      <c r="H51" s="200" t="s">
        <v>72</v>
      </c>
      <c r="K51" s="35">
        <v>32</v>
      </c>
      <c r="L51" s="62" t="str">
        <f t="shared" ca="1" si="0"/>
        <v>Ayo isi dulu jawabanmu di kolom F</v>
      </c>
      <c r="M51" s="62" t="str">
        <f t="shared" ca="1" si="1"/>
        <v>ayo isi dulu di kolom G</v>
      </c>
    </row>
    <row r="52" spans="1:13" ht="15.5" thickTop="1" thickBot="1">
      <c r="A52" s="197">
        <v>33</v>
      </c>
      <c r="B52" s="200" t="s">
        <v>68</v>
      </c>
      <c r="C52" s="200" t="s">
        <v>110</v>
      </c>
      <c r="D52" s="197">
        <v>123</v>
      </c>
      <c r="E52" s="197">
        <v>31010</v>
      </c>
      <c r="F52" s="61"/>
      <c r="G52" s="61"/>
      <c r="H52" s="200" t="s">
        <v>65</v>
      </c>
      <c r="K52" s="35">
        <v>33</v>
      </c>
      <c r="L52" s="62" t="str">
        <f t="shared" ca="1" si="0"/>
        <v>Ayo isi dulu jawabanmu di kolom F</v>
      </c>
      <c r="M52" s="62" t="str">
        <f t="shared" ca="1" si="1"/>
        <v>ayo isi dulu di kolom G</v>
      </c>
    </row>
    <row r="53" spans="1:13" ht="15.5" thickTop="1" thickBot="1">
      <c r="A53" s="197">
        <v>34</v>
      </c>
      <c r="B53" s="200" t="s">
        <v>63</v>
      </c>
      <c r="C53" s="200" t="s">
        <v>109</v>
      </c>
      <c r="D53" s="197">
        <v>62</v>
      </c>
      <c r="E53" s="197">
        <v>70191</v>
      </c>
      <c r="F53" s="61"/>
      <c r="G53" s="61"/>
      <c r="H53" s="200" t="s">
        <v>72</v>
      </c>
      <c r="K53" s="35">
        <v>34</v>
      </c>
      <c r="L53" s="62" t="str">
        <f t="shared" ca="1" si="0"/>
        <v>Ayo isi dulu jawabanmu di kolom F</v>
      </c>
      <c r="M53" s="62" t="str">
        <f t="shared" ca="1" si="1"/>
        <v>ayo isi dulu di kolom G</v>
      </c>
    </row>
    <row r="54" spans="1:13" ht="15.5" thickTop="1" thickBot="1">
      <c r="A54" s="197">
        <v>35</v>
      </c>
      <c r="B54" s="200" t="s">
        <v>81</v>
      </c>
      <c r="C54" s="200" t="s">
        <v>114</v>
      </c>
      <c r="D54" s="197">
        <v>261</v>
      </c>
      <c r="E54" s="197">
        <v>4836</v>
      </c>
      <c r="F54" s="61"/>
      <c r="G54" s="61"/>
      <c r="H54" s="200" t="s">
        <v>72</v>
      </c>
      <c r="K54" s="35">
        <v>35</v>
      </c>
      <c r="L54" s="62" t="str">
        <f t="shared" ca="1" si="0"/>
        <v>Ayo isi dulu jawabanmu di kolom F</v>
      </c>
      <c r="M54" s="62" t="str">
        <f t="shared" ca="1" si="1"/>
        <v>ayo isi dulu di kolom G</v>
      </c>
    </row>
    <row r="55" spans="1:13" ht="15.5" thickTop="1" thickBot="1">
      <c r="A55" s="197">
        <v>36</v>
      </c>
      <c r="B55" s="200" t="s">
        <v>68</v>
      </c>
      <c r="C55" s="200" t="s">
        <v>110</v>
      </c>
      <c r="D55" s="197">
        <v>259</v>
      </c>
      <c r="E55" s="197">
        <v>64444</v>
      </c>
      <c r="F55" s="61"/>
      <c r="G55" s="61"/>
      <c r="H55" s="200" t="s">
        <v>72</v>
      </c>
      <c r="K55" s="35">
        <v>36</v>
      </c>
      <c r="L55" s="62" t="str">
        <f t="shared" ca="1" si="0"/>
        <v>Ayo isi dulu jawabanmu di kolom F</v>
      </c>
      <c r="M55" s="62" t="str">
        <f t="shared" ca="1" si="1"/>
        <v>ayo isi dulu di kolom G</v>
      </c>
    </row>
    <row r="56" spans="1:13" ht="15.5" thickTop="1" thickBot="1">
      <c r="A56" s="197">
        <v>37</v>
      </c>
      <c r="B56" s="200" t="s">
        <v>79</v>
      </c>
      <c r="C56" s="200" t="s">
        <v>117</v>
      </c>
      <c r="D56" s="197">
        <v>142</v>
      </c>
      <c r="E56" s="197">
        <v>17364</v>
      </c>
      <c r="F56" s="61"/>
      <c r="G56" s="61"/>
      <c r="H56" s="200" t="s">
        <v>65</v>
      </c>
      <c r="K56" s="35">
        <v>37</v>
      </c>
      <c r="L56" s="62" t="str">
        <f t="shared" ca="1" si="0"/>
        <v>Ayo isi dulu jawabanmu di kolom F</v>
      </c>
      <c r="M56" s="62" t="str">
        <f t="shared" ca="1" si="1"/>
        <v>ayo isi dulu di kolom G</v>
      </c>
    </row>
    <row r="57" spans="1:13" ht="15.5" thickTop="1" thickBot="1">
      <c r="A57" s="197">
        <v>38</v>
      </c>
      <c r="B57" s="200" t="s">
        <v>79</v>
      </c>
      <c r="C57" s="200" t="s">
        <v>117</v>
      </c>
      <c r="D57" s="197">
        <v>114</v>
      </c>
      <c r="E57" s="197">
        <v>9552</v>
      </c>
      <c r="F57" s="61"/>
      <c r="G57" s="61"/>
      <c r="H57" s="200" t="s">
        <v>72</v>
      </c>
      <c r="K57" s="35">
        <v>38</v>
      </c>
      <c r="L57" s="62" t="str">
        <f t="shared" ca="1" si="0"/>
        <v>Ayo isi dulu jawabanmu di kolom F</v>
      </c>
      <c r="M57" s="62" t="str">
        <f t="shared" ca="1" si="1"/>
        <v>ayo isi dulu di kolom G</v>
      </c>
    </row>
    <row r="58" spans="1:13" ht="15.5" thickTop="1" thickBot="1">
      <c r="A58" s="197">
        <v>39</v>
      </c>
      <c r="B58" s="200" t="s">
        <v>73</v>
      </c>
      <c r="C58" s="200" t="s">
        <v>113</v>
      </c>
      <c r="D58" s="197">
        <v>187</v>
      </c>
      <c r="E58" s="197">
        <v>62619</v>
      </c>
      <c r="F58" s="61"/>
      <c r="G58" s="61"/>
      <c r="H58" s="200" t="s">
        <v>65</v>
      </c>
      <c r="K58" s="35">
        <v>39</v>
      </c>
      <c r="L58" s="62" t="str">
        <f t="shared" ca="1" si="0"/>
        <v>Ayo isi dulu jawabanmu di kolom F</v>
      </c>
      <c r="M58" s="62" t="str">
        <f t="shared" ca="1" si="1"/>
        <v>ayo isi dulu di kolom G</v>
      </c>
    </row>
    <row r="59" spans="1:13" ht="15.5" thickTop="1" thickBot="1">
      <c r="A59" s="197">
        <v>40</v>
      </c>
      <c r="B59" s="200" t="s">
        <v>70</v>
      </c>
      <c r="C59" s="200" t="s">
        <v>116</v>
      </c>
      <c r="D59" s="197">
        <v>211</v>
      </c>
      <c r="E59" s="197">
        <v>56247</v>
      </c>
      <c r="F59" s="61"/>
      <c r="G59" s="61"/>
      <c r="H59" s="200" t="s">
        <v>72</v>
      </c>
      <c r="K59" s="35">
        <v>40</v>
      </c>
      <c r="L59" s="62" t="str">
        <f t="shared" ca="1" si="0"/>
        <v>Ayo isi dulu jawabanmu di kolom F</v>
      </c>
      <c r="M59" s="62" t="str">
        <f t="shared" ca="1" si="1"/>
        <v>ayo isi dulu di kolom G</v>
      </c>
    </row>
    <row r="60" spans="1:13" ht="15.5" thickTop="1" thickBot="1">
      <c r="A60" s="197">
        <v>41</v>
      </c>
      <c r="B60" s="200" t="s">
        <v>73</v>
      </c>
      <c r="C60" s="200" t="s">
        <v>113</v>
      </c>
      <c r="D60" s="197">
        <v>276</v>
      </c>
      <c r="E60" s="197">
        <v>47886</v>
      </c>
      <c r="F60" s="61"/>
      <c r="G60" s="61"/>
      <c r="H60" s="200" t="s">
        <v>65</v>
      </c>
      <c r="K60" s="35">
        <v>41</v>
      </c>
      <c r="L60" s="62" t="str">
        <f t="shared" ca="1" si="0"/>
        <v>Ayo isi dulu jawabanmu di kolom F</v>
      </c>
      <c r="M60" s="62" t="str">
        <f t="shared" ca="1" si="1"/>
        <v>ayo isi dulu di kolom G</v>
      </c>
    </row>
    <row r="61" spans="1:13" ht="15.5" thickTop="1" thickBot="1">
      <c r="A61" s="197">
        <v>42</v>
      </c>
      <c r="B61" s="200" t="s">
        <v>66</v>
      </c>
      <c r="C61" s="200" t="s">
        <v>118</v>
      </c>
      <c r="D61" s="197">
        <v>19</v>
      </c>
      <c r="E61" s="197">
        <v>29192</v>
      </c>
      <c r="F61" s="61"/>
      <c r="G61" s="61"/>
      <c r="H61" s="200" t="s">
        <v>65</v>
      </c>
      <c r="K61" s="35">
        <v>42</v>
      </c>
      <c r="L61" s="62" t="str">
        <f t="shared" ca="1" si="0"/>
        <v>Ayo isi dulu jawabanmu di kolom F</v>
      </c>
      <c r="M61" s="62" t="str">
        <f t="shared" ca="1" si="1"/>
        <v>ayo isi dulu di kolom G</v>
      </c>
    </row>
    <row r="62" spans="1:13" ht="15.5" thickTop="1" thickBot="1">
      <c r="A62" s="197">
        <v>43</v>
      </c>
      <c r="B62" s="200" t="s">
        <v>83</v>
      </c>
      <c r="C62" s="200" t="s">
        <v>115</v>
      </c>
      <c r="D62" s="197">
        <v>198</v>
      </c>
      <c r="E62" s="197">
        <v>32843</v>
      </c>
      <c r="F62" s="61"/>
      <c r="G62" s="61"/>
      <c r="H62" s="200" t="s">
        <v>65</v>
      </c>
      <c r="K62" s="35">
        <v>43</v>
      </c>
      <c r="L62" s="62" t="str">
        <f t="shared" ca="1" si="0"/>
        <v>Ayo isi dulu jawabanmu di kolom F</v>
      </c>
      <c r="M62" s="62" t="str">
        <f t="shared" ca="1" si="1"/>
        <v>ayo isi dulu di kolom G</v>
      </c>
    </row>
    <row r="63" spans="1:13" ht="15.5" thickTop="1" thickBot="1">
      <c r="A63" s="197">
        <v>44</v>
      </c>
      <c r="B63" s="200" t="s">
        <v>73</v>
      </c>
      <c r="C63" s="200" t="s">
        <v>113</v>
      </c>
      <c r="D63" s="197">
        <v>209</v>
      </c>
      <c r="E63" s="197">
        <v>49099</v>
      </c>
      <c r="F63" s="61"/>
      <c r="G63" s="61"/>
      <c r="H63" s="200" t="s">
        <v>65</v>
      </c>
      <c r="K63" s="35">
        <v>44</v>
      </c>
      <c r="L63" s="62" t="str">
        <f t="shared" ca="1" si="0"/>
        <v>Ayo isi dulu jawabanmu di kolom F</v>
      </c>
      <c r="M63" s="62" t="str">
        <f t="shared" ca="1" si="1"/>
        <v>ayo isi dulu di kolom G</v>
      </c>
    </row>
    <row r="64" spans="1:13" ht="15.5" thickTop="1" thickBot="1">
      <c r="A64" s="197">
        <v>45</v>
      </c>
      <c r="B64" s="200" t="s">
        <v>63</v>
      </c>
      <c r="C64" s="200" t="s">
        <v>109</v>
      </c>
      <c r="D64" s="197">
        <v>278</v>
      </c>
      <c r="E64" s="197">
        <v>21300</v>
      </c>
      <c r="F64" s="61"/>
      <c r="G64" s="61"/>
      <c r="H64" s="200" t="s">
        <v>65</v>
      </c>
      <c r="K64" s="35">
        <v>45</v>
      </c>
      <c r="L64" s="62" t="str">
        <f t="shared" ca="1" si="0"/>
        <v>Ayo isi dulu jawabanmu di kolom F</v>
      </c>
      <c r="M64" s="62" t="str">
        <f t="shared" ca="1" si="1"/>
        <v>ayo isi dulu di kolom G</v>
      </c>
    </row>
    <row r="65" spans="1:15" ht="15.5" thickTop="1" thickBot="1">
      <c r="A65" s="197">
        <v>46</v>
      </c>
      <c r="B65" s="200" t="s">
        <v>70</v>
      </c>
      <c r="C65" s="200" t="s">
        <v>116</v>
      </c>
      <c r="D65" s="197">
        <v>245</v>
      </c>
      <c r="E65" s="197">
        <v>4355</v>
      </c>
      <c r="F65" s="61"/>
      <c r="G65" s="61"/>
      <c r="H65" s="200" t="s">
        <v>65</v>
      </c>
      <c r="K65" s="35">
        <v>46</v>
      </c>
      <c r="L65" s="62" t="str">
        <f t="shared" ca="1" si="0"/>
        <v>Ayo isi dulu jawabanmu di kolom F</v>
      </c>
      <c r="M65" s="62" t="str">
        <f t="shared" ca="1" si="1"/>
        <v>ayo isi dulu di kolom G</v>
      </c>
    </row>
    <row r="66" spans="1:15" ht="15.5" thickTop="1" thickBot="1">
      <c r="A66" s="197">
        <v>47</v>
      </c>
      <c r="B66" s="200" t="s">
        <v>83</v>
      </c>
      <c r="C66" s="200" t="s">
        <v>115</v>
      </c>
      <c r="D66" s="197">
        <v>54</v>
      </c>
      <c r="E66" s="197">
        <v>42254</v>
      </c>
      <c r="F66" s="61"/>
      <c r="G66" s="61"/>
      <c r="H66" s="200" t="s">
        <v>72</v>
      </c>
      <c r="K66" s="35">
        <v>47</v>
      </c>
      <c r="L66" s="62" t="str">
        <f t="shared" ca="1" si="0"/>
        <v>Ayo isi dulu jawabanmu di kolom F</v>
      </c>
      <c r="M66" s="62" t="str">
        <f t="shared" ca="1" si="1"/>
        <v>ayo isi dulu di kolom G</v>
      </c>
    </row>
    <row r="67" spans="1:15" ht="15.5" thickTop="1" thickBot="1">
      <c r="A67" s="197">
        <v>48</v>
      </c>
      <c r="B67" s="200" t="s">
        <v>75</v>
      </c>
      <c r="C67" s="200" t="s">
        <v>111</v>
      </c>
      <c r="D67" s="197">
        <v>268</v>
      </c>
      <c r="E67" s="197">
        <v>4575</v>
      </c>
      <c r="F67" s="61"/>
      <c r="G67" s="61"/>
      <c r="H67" s="200" t="s">
        <v>72</v>
      </c>
      <c r="K67" s="35">
        <v>48</v>
      </c>
      <c r="L67" s="62" t="str">
        <f t="shared" ca="1" si="0"/>
        <v>Ayo isi dulu jawabanmu di kolom F</v>
      </c>
      <c r="M67" s="62" t="str">
        <f t="shared" ca="1" si="1"/>
        <v>ayo isi dulu di kolom G</v>
      </c>
    </row>
    <row r="68" spans="1:15" ht="15.5" thickTop="1" thickBot="1">
      <c r="A68" s="197">
        <v>49</v>
      </c>
      <c r="B68" s="200" t="s">
        <v>68</v>
      </c>
      <c r="C68" s="200" t="s">
        <v>110</v>
      </c>
      <c r="D68" s="197">
        <v>189</v>
      </c>
      <c r="E68" s="197">
        <v>8079</v>
      </c>
      <c r="F68" s="61"/>
      <c r="G68" s="61"/>
      <c r="H68" s="200" t="s">
        <v>72</v>
      </c>
      <c r="K68" s="35">
        <v>49</v>
      </c>
      <c r="L68" s="62" t="str">
        <f t="shared" ca="1" si="0"/>
        <v>Ayo isi dulu jawabanmu di kolom F</v>
      </c>
      <c r="M68" s="62" t="str">
        <f t="shared" ca="1" si="1"/>
        <v>ayo isi dulu di kolom G</v>
      </c>
    </row>
    <row r="69" spans="1:15" ht="15.5" thickTop="1" thickBot="1">
      <c r="A69" s="197">
        <v>50</v>
      </c>
      <c r="B69" s="200" t="s">
        <v>63</v>
      </c>
      <c r="C69" s="200" t="s">
        <v>109</v>
      </c>
      <c r="D69" s="197">
        <v>54</v>
      </c>
      <c r="E69" s="197">
        <v>38958</v>
      </c>
      <c r="F69" s="61"/>
      <c r="G69" s="61"/>
      <c r="H69" s="200" t="s">
        <v>72</v>
      </c>
      <c r="K69" s="35">
        <v>50</v>
      </c>
      <c r="L69" s="62" t="str">
        <f t="shared" ca="1" si="0"/>
        <v>Ayo isi dulu jawabanmu di kolom F</v>
      </c>
      <c r="M69" s="62" t="str">
        <f t="shared" ca="1" si="1"/>
        <v>ayo isi dulu di kolom G</v>
      </c>
    </row>
    <row r="70" spans="1:15" ht="15.5" thickTop="1" thickBot="1">
      <c r="A70" s="197"/>
      <c r="B70" s="200"/>
      <c r="C70" s="200"/>
      <c r="D70" s="197"/>
      <c r="E70" s="197"/>
      <c r="F70" s="61"/>
      <c r="G70" s="61"/>
      <c r="H70" s="200"/>
      <c r="K70" s="36"/>
      <c r="L70" s="63"/>
      <c r="M70" s="63"/>
    </row>
    <row r="71" spans="1:15" ht="30" customHeight="1" thickTop="1" thickBot="1">
      <c r="A71" s="105"/>
      <c r="B71" s="201" t="s">
        <v>2</v>
      </c>
      <c r="C71" s="202"/>
      <c r="D71" s="202"/>
      <c r="E71" s="203"/>
      <c r="F71" s="105"/>
      <c r="G71" s="105"/>
      <c r="H71" s="105"/>
      <c r="L71" s="111" t="str">
        <f ca="1">IFERROR(IF(F71="","ayo isi dulu kolom totalnya",IF(_xlfn.ISFORMULA(F71)=FALSE,"ayo isi dulu kolom totalnya",IF(ISNUMBER(SEARCH("SUM(",_xlfn.FORMULATEXT(F71))),IF(OR(ISNUMBER(SEARCH("F20:F69",_xlfn.FORMULATEXT(F71))),ISNUMBER(SEARCH("F20:F70",_xlfn.FORMULATEXT(F71)))),"YEAY TOTALNYA SUDAH BETUL","range-nya masih salah"),"harus pakai SUM ya"))),"rumusnya ambil sel yg salah tuh")</f>
        <v>ayo isi dulu kolom totalnya</v>
      </c>
      <c r="M71" s="111" t="str">
        <f ca="1">IFERROR(IF(G71="","ayo isi dulu kolom totalnya",IF(_xlfn.ISFORMULA(G71)=FALSE,"ayo isi dulu kolom totalnya",IF(ISNUMBER(SEARCH("SUM(",_xlfn.FORMULATEXT(G71))),IF(OR(ISNUMBER(SEARCH("G20:G69",_xlfn.FORMULATEXT(G71))),ISNUMBER(SEARCH("G20:G70",_xlfn.FORMULATEXT(G71)))),"YEAY TOTALNYA SUDAH BETUL","range-nya masih salah"),"harus pakai SUM ya"))),"rumusnya ambil sel yg salah tuh")</f>
        <v>ayo isi dulu kolom totalnya</v>
      </c>
    </row>
    <row r="72" spans="1:15" ht="15.5" thickTop="1" thickBot="1">
      <c r="A72" s="105"/>
      <c r="B72" s="204"/>
      <c r="C72" s="205"/>
      <c r="D72" s="205"/>
      <c r="E72" s="206"/>
      <c r="F72" s="105"/>
      <c r="G72" s="105"/>
      <c r="H72" s="105"/>
      <c r="L72" s="112"/>
      <c r="M72" s="112"/>
    </row>
    <row r="73" spans="1:15" ht="15" thickTop="1">
      <c r="L73" s="64"/>
      <c r="M73" s="64"/>
    </row>
    <row r="74" spans="1:15" ht="14.5" customHeight="1">
      <c r="L74" s="113" t="str">
        <f ca="1">IF(AND(COUNTA(L20:L69)=50,COUNTA(M20:M69)=50,COUNTIF(L20:L69,"YEAY BETUL")=50,COUNTIF(M20:M69,"YEAY BETUL")=50),"kamu sudah menyelesaikan tantangan level 2 ini, ayo lanjut ke level selanjutnya !","")</f>
        <v/>
      </c>
      <c r="M74" s="113"/>
      <c r="N74" s="18"/>
      <c r="O74" s="18"/>
    </row>
    <row r="75" spans="1:15" ht="14.5" customHeight="1">
      <c r="L75" s="113"/>
      <c r="M75" s="113"/>
      <c r="N75" s="18"/>
      <c r="O75" s="18"/>
    </row>
    <row r="76" spans="1:15" ht="14.5" customHeight="1">
      <c r="L76" s="113"/>
      <c r="M76" s="113"/>
      <c r="N76" s="18"/>
      <c r="O76" s="18"/>
    </row>
    <row r="77" spans="1:15" ht="14.5" customHeight="1">
      <c r="L77" s="113"/>
      <c r="M77" s="113"/>
      <c r="N77" s="18"/>
      <c r="O77" s="18"/>
    </row>
    <row r="78" spans="1:15" ht="14.5" customHeight="1">
      <c r="L78" s="113"/>
      <c r="M78" s="113"/>
    </row>
    <row r="79" spans="1:15">
      <c r="L79" s="64"/>
      <c r="M79" s="64"/>
    </row>
    <row r="80" spans="1:15" ht="14.5" customHeight="1">
      <c r="L80" s="106" t="str">
        <f ca="1">IF(AND(COUNTA(L20:L69)=50,COUNTA(M20:M69)=50,COUNTIF(L20:L69,"YEAY BETUL")=50,COUNTIF(M20:M69,"YEAY BETUL")=50),"KLIK DISINI UNTUK LANJUT KE LEVEL 3","")</f>
        <v/>
      </c>
      <c r="M80" s="106"/>
      <c r="N80" s="47"/>
    </row>
    <row r="81" spans="12:14" ht="14.5" customHeight="1">
      <c r="L81" s="106"/>
      <c r="M81" s="106"/>
      <c r="N81" s="47"/>
    </row>
    <row r="82" spans="12:14" ht="14.5" customHeight="1">
      <c r="L82" s="106"/>
      <c r="M82" s="106"/>
      <c r="N82" s="47"/>
    </row>
    <row r="83" spans="12:14" ht="14.5" customHeight="1">
      <c r="L83" s="64"/>
      <c r="M83" s="65"/>
      <c r="N83" s="47"/>
    </row>
    <row r="84" spans="12:14" ht="14.5" customHeight="1">
      <c r="L84" s="64"/>
      <c r="M84" s="65"/>
      <c r="N84" s="47"/>
    </row>
    <row r="85" spans="12:14">
      <c r="L85" s="64"/>
      <c r="M85" s="64"/>
    </row>
  </sheetData>
  <sheetProtection algorithmName="SHA-512" hashValue="ErGTpEdUrbZbnH4IAzeiRlSP4c+bKMwqxiwac99/xrm/FwFqr30jzusK7EVZjK4OYRnzLxgQUahvdhEu/ioy6w==" saltValue="ja+oefBSw6SJqJIpHkq9Kw==" spinCount="100000" sheet="1" objects="1" scenarios="1"/>
  <mergeCells count="13">
    <mergeCell ref="L80:M82"/>
    <mergeCell ref="I2:K3"/>
    <mergeCell ref="I1:K1"/>
    <mergeCell ref="L71:L72"/>
    <mergeCell ref="M71:M72"/>
    <mergeCell ref="L74:M78"/>
    <mergeCell ref="B1:H1"/>
    <mergeCell ref="B2:H3"/>
    <mergeCell ref="A71:A72"/>
    <mergeCell ref="F71:F72"/>
    <mergeCell ref="G71:G72"/>
    <mergeCell ref="H71:H72"/>
    <mergeCell ref="B71:E72"/>
  </mergeCells>
  <conditionalFormatting sqref="A1:N85">
    <cfRule type="expression" dxfId="12" priority="9">
      <formula>ISNUMBER(SEARCH("BELUM",$Q$1))</formula>
    </cfRule>
  </conditionalFormatting>
  <conditionalFormatting sqref="I2:K3">
    <cfRule type="containsText" dxfId="11" priority="1" operator="containsText" text="BELUM DISELESAIKAN">
      <formula>NOT(ISERROR(SEARCH("BELUM DISELESAIKAN",I2)))</formula>
    </cfRule>
    <cfRule type="containsText" dxfId="10" priority="2" operator="containsText" text="SELESAI">
      <formula>NOT(ISERROR(SEARCH("SELESAI",I2)))</formula>
    </cfRule>
  </conditionalFormatting>
  <conditionalFormatting sqref="L80 L74:M78 N80:N82 M83:N84">
    <cfRule type="beginsWith" dxfId="9" priority="8" operator="beginsWith" text="kamu sudah menyelesaikan tantangan level 2 ini, ayo lanjut ke level selanjutnya !">
      <formula>LEFT(L74,LEN("kamu sudah menyelesaikan tantangan level 2 ini, ayo lanjut ke level selanjutnya !"))="kamu sudah menyelesaikan tantangan level 2 ini, ayo lanjut ke level selanjutnya !"</formula>
    </cfRule>
  </conditionalFormatting>
  <conditionalFormatting sqref="L1:M79 L80 N80:N82 L83:N84 L85:M1048576">
    <cfRule type="containsText" dxfId="8" priority="6" operator="containsText" text="MASIH SALAH PERHATIKAN RUMUSNYA">
      <formula>NOT(ISERROR(SEARCH("MASIH SALAH PERHATIKAN RUMUSNYA",L1)))</formula>
    </cfRule>
    <cfRule type="containsText" dxfId="7" priority="7" operator="containsText" text="BETUL">
      <formula>NOT(ISERROR(SEARCH("BETUL",L1)))</formula>
    </cfRule>
  </conditionalFormatting>
  <conditionalFormatting sqref="L80:M82">
    <cfRule type="containsText" dxfId="6" priority="4" operator="containsText" text="KLIK DISINI UNTUK LANJUT KE LEVEL 3">
      <formula>NOT(ISERROR(SEARCH("KLIK DISINI UNTUK LANJUT KE LEVEL 3",L80)))</formula>
    </cfRule>
  </conditionalFormatting>
  <hyperlinks>
    <hyperlink ref="L80:M82" location="'LEVEL 3'!A1" display="'LEVEL 3'!A1" xr:uid="{1D4C8077-C050-4B34-881A-AED606B61C9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D6D5-EA32-403E-BAA3-80FC2E490186}">
  <dimension ref="A1:O89"/>
  <sheetViews>
    <sheetView topLeftCell="A76" workbookViewId="0">
      <selection activeCell="F87" sqref="F87"/>
    </sheetView>
  </sheetViews>
  <sheetFormatPr defaultRowHeight="14.5"/>
  <cols>
    <col min="2" max="2" width="16.453125" bestFit="1" customWidth="1"/>
    <col min="3" max="3" width="11.90625" style="2" bestFit="1" customWidth="1"/>
    <col min="4" max="4" width="9.08984375" style="2" bestFit="1" customWidth="1"/>
    <col min="5" max="5" width="19" style="2" customWidth="1"/>
    <col min="6" max="6" width="16" style="2" bestFit="1" customWidth="1"/>
    <col min="7" max="7" width="16.453125" style="2" customWidth="1"/>
    <col min="8" max="8" width="12.08984375" style="2" bestFit="1" customWidth="1"/>
    <col min="9" max="9" width="8.7265625" customWidth="1"/>
    <col min="10" max="10" width="11.26953125" customWidth="1"/>
    <col min="11" max="11" width="5.26953125" customWidth="1"/>
  </cols>
  <sheetData>
    <row r="1" spans="2:15" ht="25.5" thickBot="1">
      <c r="B1" s="147" t="s">
        <v>190</v>
      </c>
      <c r="C1" s="147"/>
      <c r="D1" s="147"/>
      <c r="E1" s="147"/>
      <c r="F1" s="147"/>
      <c r="G1" s="147"/>
      <c r="H1" s="148"/>
      <c r="I1" s="169" t="s">
        <v>198</v>
      </c>
      <c r="J1" s="169"/>
      <c r="K1" s="169"/>
      <c r="O1" s="48" t="str">
        <f ca="1">INDEX('LEVEL 2'!L74:M78,1,1)</f>
        <v/>
      </c>
    </row>
    <row r="2" spans="2:15" ht="15.5" customHeight="1" thickBot="1">
      <c r="B2" s="149" t="s">
        <v>177</v>
      </c>
      <c r="C2" s="150"/>
      <c r="D2" s="150"/>
      <c r="E2" s="150"/>
      <c r="F2" s="150"/>
      <c r="G2" s="150"/>
      <c r="H2" s="150"/>
      <c r="I2" s="170" t="str">
        <f>H81</f>
        <v>⏳ BELUM DISELESAIKAN</v>
      </c>
      <c r="J2" s="170"/>
      <c r="K2" s="170"/>
    </row>
    <row r="3" spans="2:15" ht="15" customHeight="1" thickBot="1">
      <c r="B3" s="151"/>
      <c r="C3" s="152"/>
      <c r="D3" s="152"/>
      <c r="E3" s="152"/>
      <c r="F3" s="152"/>
      <c r="G3" s="152"/>
      <c r="H3" s="152"/>
      <c r="I3" s="170"/>
      <c r="J3" s="170"/>
      <c r="K3" s="170"/>
    </row>
    <row r="4" spans="2:15" ht="23.5">
      <c r="B4" s="60" t="s">
        <v>188</v>
      </c>
    </row>
    <row r="5" spans="2:15" ht="15" customHeight="1"/>
    <row r="6" spans="2:15" ht="15" customHeight="1">
      <c r="B6" s="38" t="s">
        <v>99</v>
      </c>
    </row>
    <row r="7" spans="2:15" ht="15" customHeight="1">
      <c r="B7" t="s">
        <v>179</v>
      </c>
    </row>
    <row r="8" spans="2:15">
      <c r="B8" t="s">
        <v>183</v>
      </c>
    </row>
    <row r="9" spans="2:15">
      <c r="B9" t="s">
        <v>184</v>
      </c>
    </row>
    <row r="10" spans="2:15">
      <c r="B10" s="1" t="s">
        <v>185</v>
      </c>
    </row>
    <row r="11" spans="2:15">
      <c r="B11" s="1" t="s">
        <v>182</v>
      </c>
    </row>
    <row r="12" spans="2:15">
      <c r="B12" s="1" t="s">
        <v>180</v>
      </c>
    </row>
    <row r="13" spans="2:15" ht="15" thickBot="1"/>
    <row r="14" spans="2:15" s="39" customFormat="1" ht="5.5" customHeight="1" thickBot="1">
      <c r="C14" s="40"/>
      <c r="D14" s="40"/>
      <c r="E14" s="40"/>
      <c r="F14" s="40"/>
      <c r="G14" s="40"/>
      <c r="H14" s="40"/>
      <c r="I14" s="40"/>
      <c r="J14" s="40"/>
    </row>
    <row r="16" spans="2:15" ht="15" thickBot="1"/>
    <row r="17" spans="1:8" ht="15" thickBot="1">
      <c r="B17" s="153" t="s">
        <v>181</v>
      </c>
      <c r="C17" s="153"/>
    </row>
    <row r="18" spans="1:8">
      <c r="B18" s="46" t="s">
        <v>119</v>
      </c>
      <c r="C18" s="41">
        <v>0.02</v>
      </c>
    </row>
    <row r="19" spans="1:8">
      <c r="B19" s="46" t="s">
        <v>120</v>
      </c>
      <c r="C19" s="41">
        <v>0.05</v>
      </c>
    </row>
    <row r="20" spans="1:8" ht="15" thickBot="1">
      <c r="B20" s="2"/>
      <c r="C20" s="37"/>
    </row>
    <row r="21" spans="1:8" ht="15" thickBot="1">
      <c r="A21" s="154" t="s">
        <v>0</v>
      </c>
      <c r="B21" s="154" t="s">
        <v>121</v>
      </c>
      <c r="C21" s="154" t="s">
        <v>122</v>
      </c>
      <c r="D21" s="154" t="s">
        <v>123</v>
      </c>
      <c r="E21" s="155" t="s">
        <v>178</v>
      </c>
      <c r="F21" s="154" t="s">
        <v>124</v>
      </c>
      <c r="G21" s="154" t="s">
        <v>125</v>
      </c>
      <c r="H21" s="154" t="s">
        <v>126</v>
      </c>
    </row>
    <row r="22" spans="1:8" ht="15" thickBot="1">
      <c r="A22" s="154"/>
      <c r="B22" s="154"/>
      <c r="C22" s="154"/>
      <c r="D22" s="154"/>
      <c r="E22" s="155"/>
      <c r="F22" s="154"/>
      <c r="G22" s="154"/>
      <c r="H22" s="154"/>
    </row>
    <row r="23" spans="1:8" ht="15" thickBot="1">
      <c r="A23" s="44">
        <v>1</v>
      </c>
      <c r="B23" s="44" t="s">
        <v>127</v>
      </c>
      <c r="C23" s="45">
        <v>3750000</v>
      </c>
      <c r="D23" s="45">
        <v>350000</v>
      </c>
      <c r="E23" s="67"/>
      <c r="F23" s="67"/>
      <c r="G23" s="67"/>
      <c r="H23" s="67"/>
    </row>
    <row r="24" spans="1:8" ht="15" thickBot="1">
      <c r="A24" s="42">
        <v>2</v>
      </c>
      <c r="B24" s="42" t="s">
        <v>128</v>
      </c>
      <c r="C24" s="43">
        <v>4000000</v>
      </c>
      <c r="D24" s="43">
        <v>500000</v>
      </c>
      <c r="E24" s="67"/>
      <c r="F24" s="68"/>
      <c r="G24" s="67"/>
      <c r="H24" s="68"/>
    </row>
    <row r="25" spans="1:8" ht="15" thickBot="1">
      <c r="A25" s="42">
        <v>3</v>
      </c>
      <c r="B25" s="42" t="s">
        <v>129</v>
      </c>
      <c r="C25" s="43">
        <v>4250000</v>
      </c>
      <c r="D25" s="43">
        <v>650000</v>
      </c>
      <c r="E25" s="67"/>
      <c r="F25" s="68"/>
      <c r="G25" s="67"/>
      <c r="H25" s="68"/>
    </row>
    <row r="26" spans="1:8" ht="15" thickBot="1">
      <c r="A26" s="42">
        <v>4</v>
      </c>
      <c r="B26" s="42" t="s">
        <v>130</v>
      </c>
      <c r="C26" s="43">
        <v>4500000</v>
      </c>
      <c r="D26" s="43">
        <v>200000</v>
      </c>
      <c r="E26" s="67"/>
      <c r="F26" s="68"/>
      <c r="G26" s="67"/>
      <c r="H26" s="68"/>
    </row>
    <row r="27" spans="1:8" ht="15" thickBot="1">
      <c r="A27" s="42">
        <v>5</v>
      </c>
      <c r="B27" s="42" t="s">
        <v>131</v>
      </c>
      <c r="C27" s="43">
        <v>3500000</v>
      </c>
      <c r="D27" s="43">
        <v>350000</v>
      </c>
      <c r="E27" s="67"/>
      <c r="F27" s="68"/>
      <c r="G27" s="67"/>
      <c r="H27" s="68"/>
    </row>
    <row r="28" spans="1:8" ht="15" thickBot="1">
      <c r="A28" s="42">
        <v>6</v>
      </c>
      <c r="B28" s="42" t="s">
        <v>132</v>
      </c>
      <c r="C28" s="43">
        <v>3750000</v>
      </c>
      <c r="D28" s="43">
        <v>500000</v>
      </c>
      <c r="E28" s="67"/>
      <c r="F28" s="68"/>
      <c r="G28" s="67"/>
      <c r="H28" s="68"/>
    </row>
    <row r="29" spans="1:8" ht="15" thickBot="1">
      <c r="A29" s="42">
        <v>7</v>
      </c>
      <c r="B29" s="42" t="s">
        <v>133</v>
      </c>
      <c r="C29" s="43">
        <v>4000000</v>
      </c>
      <c r="D29" s="43">
        <v>650000</v>
      </c>
      <c r="E29" s="67"/>
      <c r="F29" s="68"/>
      <c r="G29" s="67"/>
      <c r="H29" s="68"/>
    </row>
    <row r="30" spans="1:8" ht="15" thickBot="1">
      <c r="A30" s="42">
        <v>8</v>
      </c>
      <c r="B30" s="42" t="s">
        <v>134</v>
      </c>
      <c r="C30" s="43">
        <v>4250000</v>
      </c>
      <c r="D30" s="43">
        <v>200000</v>
      </c>
      <c r="E30" s="67"/>
      <c r="F30" s="68"/>
      <c r="G30" s="67"/>
      <c r="H30" s="68"/>
    </row>
    <row r="31" spans="1:8" ht="15" thickBot="1">
      <c r="A31" s="42">
        <v>9</v>
      </c>
      <c r="B31" s="42" t="s">
        <v>135</v>
      </c>
      <c r="C31" s="43">
        <v>4500000</v>
      </c>
      <c r="D31" s="43">
        <v>350000</v>
      </c>
      <c r="E31" s="67"/>
      <c r="F31" s="68"/>
      <c r="G31" s="67"/>
      <c r="H31" s="68"/>
    </row>
    <row r="32" spans="1:8" ht="15" thickBot="1">
      <c r="A32" s="42">
        <v>10</v>
      </c>
      <c r="B32" s="42" t="s">
        <v>136</v>
      </c>
      <c r="C32" s="43">
        <v>3500000</v>
      </c>
      <c r="D32" s="43">
        <v>500000</v>
      </c>
      <c r="E32" s="67"/>
      <c r="F32" s="68"/>
      <c r="G32" s="67"/>
      <c r="H32" s="68"/>
    </row>
    <row r="33" spans="1:8" ht="15" thickBot="1">
      <c r="A33" s="42">
        <v>11</v>
      </c>
      <c r="B33" s="42" t="s">
        <v>137</v>
      </c>
      <c r="C33" s="43">
        <v>3750000</v>
      </c>
      <c r="D33" s="43">
        <v>650000</v>
      </c>
      <c r="E33" s="67"/>
      <c r="F33" s="68"/>
      <c r="G33" s="67"/>
      <c r="H33" s="68"/>
    </row>
    <row r="34" spans="1:8" ht="15" thickBot="1">
      <c r="A34" s="42">
        <v>12</v>
      </c>
      <c r="B34" s="42" t="s">
        <v>138</v>
      </c>
      <c r="C34" s="43">
        <v>4000000</v>
      </c>
      <c r="D34" s="43">
        <v>200000</v>
      </c>
      <c r="E34" s="67"/>
      <c r="F34" s="68"/>
      <c r="G34" s="67"/>
      <c r="H34" s="68"/>
    </row>
    <row r="35" spans="1:8" ht="15" thickBot="1">
      <c r="A35" s="42">
        <v>13</v>
      </c>
      <c r="B35" s="42" t="s">
        <v>139</v>
      </c>
      <c r="C35" s="43">
        <v>4250000</v>
      </c>
      <c r="D35" s="43">
        <v>350000</v>
      </c>
      <c r="E35" s="67"/>
      <c r="F35" s="68"/>
      <c r="G35" s="67"/>
      <c r="H35" s="68"/>
    </row>
    <row r="36" spans="1:8" ht="15" thickBot="1">
      <c r="A36" s="42">
        <v>14</v>
      </c>
      <c r="B36" s="42" t="s">
        <v>140</v>
      </c>
      <c r="C36" s="43">
        <v>4500000</v>
      </c>
      <c r="D36" s="43">
        <v>500000</v>
      </c>
      <c r="E36" s="67"/>
      <c r="F36" s="68"/>
      <c r="G36" s="67"/>
      <c r="H36" s="68"/>
    </row>
    <row r="37" spans="1:8" ht="15" thickBot="1">
      <c r="A37" s="42">
        <v>15</v>
      </c>
      <c r="B37" s="42" t="s">
        <v>141</v>
      </c>
      <c r="C37" s="43">
        <v>3500000</v>
      </c>
      <c r="D37" s="43">
        <v>650000</v>
      </c>
      <c r="E37" s="67"/>
      <c r="F37" s="68"/>
      <c r="G37" s="67"/>
      <c r="H37" s="68"/>
    </row>
    <row r="38" spans="1:8" ht="15" thickBot="1">
      <c r="A38" s="42">
        <v>16</v>
      </c>
      <c r="B38" s="42" t="s">
        <v>142</v>
      </c>
      <c r="C38" s="43">
        <v>3750000</v>
      </c>
      <c r="D38" s="43">
        <v>200000</v>
      </c>
      <c r="E38" s="67"/>
      <c r="F38" s="68"/>
      <c r="G38" s="67"/>
      <c r="H38" s="68"/>
    </row>
    <row r="39" spans="1:8" ht="15" thickBot="1">
      <c r="A39" s="42">
        <v>17</v>
      </c>
      <c r="B39" s="42" t="s">
        <v>143</v>
      </c>
      <c r="C39" s="43">
        <v>4000000</v>
      </c>
      <c r="D39" s="43">
        <v>350000</v>
      </c>
      <c r="E39" s="67"/>
      <c r="F39" s="68"/>
      <c r="G39" s="67"/>
      <c r="H39" s="68"/>
    </row>
    <row r="40" spans="1:8" ht="15" thickBot="1">
      <c r="A40" s="42">
        <v>18</v>
      </c>
      <c r="B40" s="42" t="s">
        <v>144</v>
      </c>
      <c r="C40" s="43">
        <v>4250000</v>
      </c>
      <c r="D40" s="43">
        <v>500000</v>
      </c>
      <c r="E40" s="67"/>
      <c r="F40" s="68"/>
      <c r="G40" s="67"/>
      <c r="H40" s="68"/>
    </row>
    <row r="41" spans="1:8" ht="15" thickBot="1">
      <c r="A41" s="42">
        <v>19</v>
      </c>
      <c r="B41" s="42" t="s">
        <v>145</v>
      </c>
      <c r="C41" s="43">
        <v>4500000</v>
      </c>
      <c r="D41" s="43">
        <v>650000</v>
      </c>
      <c r="E41" s="67"/>
      <c r="F41" s="68"/>
      <c r="G41" s="67"/>
      <c r="H41" s="68"/>
    </row>
    <row r="42" spans="1:8" ht="15" thickBot="1">
      <c r="A42" s="42">
        <v>20</v>
      </c>
      <c r="B42" s="42" t="s">
        <v>146</v>
      </c>
      <c r="C42" s="43">
        <v>3500000</v>
      </c>
      <c r="D42" s="43">
        <v>200000</v>
      </c>
      <c r="E42" s="67"/>
      <c r="F42" s="68"/>
      <c r="G42" s="67"/>
      <c r="H42" s="68"/>
    </row>
    <row r="43" spans="1:8" ht="15" thickBot="1">
      <c r="A43" s="42">
        <v>21</v>
      </c>
      <c r="B43" s="42" t="s">
        <v>147</v>
      </c>
      <c r="C43" s="43">
        <v>3750000</v>
      </c>
      <c r="D43" s="43">
        <v>350000</v>
      </c>
      <c r="E43" s="67"/>
      <c r="F43" s="68"/>
      <c r="G43" s="67"/>
      <c r="H43" s="68"/>
    </row>
    <row r="44" spans="1:8" ht="15" thickBot="1">
      <c r="A44" s="42">
        <v>22</v>
      </c>
      <c r="B44" s="42" t="s">
        <v>148</v>
      </c>
      <c r="C44" s="43">
        <v>4000000</v>
      </c>
      <c r="D44" s="43">
        <v>500000</v>
      </c>
      <c r="E44" s="67"/>
      <c r="F44" s="68"/>
      <c r="G44" s="67"/>
      <c r="H44" s="68"/>
    </row>
    <row r="45" spans="1:8" ht="15" thickBot="1">
      <c r="A45" s="42">
        <v>23</v>
      </c>
      <c r="B45" s="42" t="s">
        <v>149</v>
      </c>
      <c r="C45" s="43">
        <v>4250000</v>
      </c>
      <c r="D45" s="43">
        <v>650000</v>
      </c>
      <c r="E45" s="67"/>
      <c r="F45" s="68"/>
      <c r="G45" s="67"/>
      <c r="H45" s="68"/>
    </row>
    <row r="46" spans="1:8" ht="15" thickBot="1">
      <c r="A46" s="42">
        <v>24</v>
      </c>
      <c r="B46" s="42" t="s">
        <v>150</v>
      </c>
      <c r="C46" s="43">
        <v>4500000</v>
      </c>
      <c r="D46" s="43">
        <v>200000</v>
      </c>
      <c r="E46" s="67"/>
      <c r="F46" s="68"/>
      <c r="G46" s="67"/>
      <c r="H46" s="68"/>
    </row>
    <row r="47" spans="1:8" ht="15" thickBot="1">
      <c r="A47" s="42">
        <v>25</v>
      </c>
      <c r="B47" s="42" t="s">
        <v>151</v>
      </c>
      <c r="C47" s="43">
        <v>3500000</v>
      </c>
      <c r="D47" s="43">
        <v>350000</v>
      </c>
      <c r="E47" s="67"/>
      <c r="F47" s="68"/>
      <c r="G47" s="67"/>
      <c r="H47" s="68"/>
    </row>
    <row r="48" spans="1:8" ht="15" thickBot="1">
      <c r="A48" s="42">
        <v>26</v>
      </c>
      <c r="B48" s="42" t="s">
        <v>152</v>
      </c>
      <c r="C48" s="43">
        <v>3750000</v>
      </c>
      <c r="D48" s="43">
        <v>500000</v>
      </c>
      <c r="E48" s="67"/>
      <c r="F48" s="68"/>
      <c r="G48" s="67"/>
      <c r="H48" s="68"/>
    </row>
    <row r="49" spans="1:8" ht="15" thickBot="1">
      <c r="A49" s="42">
        <v>27</v>
      </c>
      <c r="B49" s="42" t="s">
        <v>153</v>
      </c>
      <c r="C49" s="43">
        <v>4000000</v>
      </c>
      <c r="D49" s="43">
        <v>650000</v>
      </c>
      <c r="E49" s="67"/>
      <c r="F49" s="68"/>
      <c r="G49" s="67"/>
      <c r="H49" s="68"/>
    </row>
    <row r="50" spans="1:8" ht="15" thickBot="1">
      <c r="A50" s="42">
        <v>28</v>
      </c>
      <c r="B50" s="42" t="s">
        <v>154</v>
      </c>
      <c r="C50" s="43">
        <v>4250000</v>
      </c>
      <c r="D50" s="43">
        <v>200000</v>
      </c>
      <c r="E50" s="67"/>
      <c r="F50" s="68"/>
      <c r="G50" s="67"/>
      <c r="H50" s="68"/>
    </row>
    <row r="51" spans="1:8" ht="15" thickBot="1">
      <c r="A51" s="42">
        <v>29</v>
      </c>
      <c r="B51" s="42" t="s">
        <v>155</v>
      </c>
      <c r="C51" s="43">
        <v>4500000</v>
      </c>
      <c r="D51" s="43">
        <v>350000</v>
      </c>
      <c r="E51" s="67"/>
      <c r="F51" s="68"/>
      <c r="G51" s="67"/>
      <c r="H51" s="68"/>
    </row>
    <row r="52" spans="1:8" ht="15" thickBot="1">
      <c r="A52" s="42">
        <v>30</v>
      </c>
      <c r="B52" s="42" t="s">
        <v>156</v>
      </c>
      <c r="C52" s="43">
        <v>3500000</v>
      </c>
      <c r="D52" s="43">
        <v>500000</v>
      </c>
      <c r="E52" s="67"/>
      <c r="F52" s="68"/>
      <c r="G52" s="67"/>
      <c r="H52" s="68"/>
    </row>
    <row r="53" spans="1:8" ht="15" thickBot="1">
      <c r="A53" s="42">
        <v>31</v>
      </c>
      <c r="B53" s="42" t="s">
        <v>157</v>
      </c>
      <c r="C53" s="43">
        <v>3750000</v>
      </c>
      <c r="D53" s="43">
        <v>650000</v>
      </c>
      <c r="E53" s="67"/>
      <c r="F53" s="68"/>
      <c r="G53" s="67"/>
      <c r="H53" s="68"/>
    </row>
    <row r="54" spans="1:8" ht="15" thickBot="1">
      <c r="A54" s="42">
        <v>32</v>
      </c>
      <c r="B54" s="42" t="s">
        <v>158</v>
      </c>
      <c r="C54" s="43">
        <v>4000000</v>
      </c>
      <c r="D54" s="43">
        <v>200000</v>
      </c>
      <c r="E54" s="67"/>
      <c r="F54" s="68"/>
      <c r="G54" s="67"/>
      <c r="H54" s="68"/>
    </row>
    <row r="55" spans="1:8" ht="15" thickBot="1">
      <c r="A55" s="42">
        <v>33</v>
      </c>
      <c r="B55" s="42" t="s">
        <v>159</v>
      </c>
      <c r="C55" s="43">
        <v>4250000</v>
      </c>
      <c r="D55" s="43">
        <v>350000</v>
      </c>
      <c r="E55" s="67"/>
      <c r="F55" s="68"/>
      <c r="G55" s="67"/>
      <c r="H55" s="68"/>
    </row>
    <row r="56" spans="1:8" ht="15" thickBot="1">
      <c r="A56" s="42">
        <v>34</v>
      </c>
      <c r="B56" s="42" t="s">
        <v>160</v>
      </c>
      <c r="C56" s="43">
        <v>4500000</v>
      </c>
      <c r="D56" s="43">
        <v>500000</v>
      </c>
      <c r="E56" s="67"/>
      <c r="F56" s="68"/>
      <c r="G56" s="67"/>
      <c r="H56" s="68"/>
    </row>
    <row r="57" spans="1:8" ht="15" thickBot="1">
      <c r="A57" s="42">
        <v>35</v>
      </c>
      <c r="B57" s="42" t="s">
        <v>161</v>
      </c>
      <c r="C57" s="43">
        <v>3500000</v>
      </c>
      <c r="D57" s="43">
        <v>650000</v>
      </c>
      <c r="E57" s="67"/>
      <c r="F57" s="68"/>
      <c r="G57" s="67"/>
      <c r="H57" s="68"/>
    </row>
    <row r="58" spans="1:8" ht="15" thickBot="1">
      <c r="A58" s="42">
        <v>36</v>
      </c>
      <c r="B58" s="42" t="s">
        <v>162</v>
      </c>
      <c r="C58" s="43">
        <v>3750000</v>
      </c>
      <c r="D58" s="43">
        <v>200000</v>
      </c>
      <c r="E58" s="67"/>
      <c r="F58" s="68"/>
      <c r="G58" s="67"/>
      <c r="H58" s="68"/>
    </row>
    <row r="59" spans="1:8" ht="15" thickBot="1">
      <c r="A59" s="42">
        <v>37</v>
      </c>
      <c r="B59" s="42" t="s">
        <v>163</v>
      </c>
      <c r="C59" s="43">
        <v>4000000</v>
      </c>
      <c r="D59" s="43">
        <v>350000</v>
      </c>
      <c r="E59" s="67"/>
      <c r="F59" s="68"/>
      <c r="G59" s="67"/>
      <c r="H59" s="68"/>
    </row>
    <row r="60" spans="1:8" ht="15" thickBot="1">
      <c r="A60" s="42">
        <v>38</v>
      </c>
      <c r="B60" s="42" t="s">
        <v>164</v>
      </c>
      <c r="C60" s="43">
        <v>4250000</v>
      </c>
      <c r="D60" s="43">
        <v>500000</v>
      </c>
      <c r="E60" s="67"/>
      <c r="F60" s="68"/>
      <c r="G60" s="67"/>
      <c r="H60" s="68"/>
    </row>
    <row r="61" spans="1:8" ht="15" thickBot="1">
      <c r="A61" s="42">
        <v>39</v>
      </c>
      <c r="B61" s="42" t="s">
        <v>165</v>
      </c>
      <c r="C61" s="43">
        <v>4500000</v>
      </c>
      <c r="D61" s="43">
        <v>650000</v>
      </c>
      <c r="E61" s="67"/>
      <c r="F61" s="68"/>
      <c r="G61" s="67"/>
      <c r="H61" s="68"/>
    </row>
    <row r="62" spans="1:8" ht="15" thickBot="1">
      <c r="A62" s="42">
        <v>40</v>
      </c>
      <c r="B62" s="42" t="s">
        <v>166</v>
      </c>
      <c r="C62" s="43">
        <v>3500000</v>
      </c>
      <c r="D62" s="43">
        <v>200000</v>
      </c>
      <c r="E62" s="67"/>
      <c r="F62" s="68"/>
      <c r="G62" s="67"/>
      <c r="H62" s="68"/>
    </row>
    <row r="63" spans="1:8" ht="15" thickBot="1">
      <c r="A63" s="42">
        <v>41</v>
      </c>
      <c r="B63" s="42" t="s">
        <v>167</v>
      </c>
      <c r="C63" s="43">
        <v>3750000</v>
      </c>
      <c r="D63" s="43">
        <v>350000</v>
      </c>
      <c r="E63" s="67"/>
      <c r="F63" s="68"/>
      <c r="G63" s="67"/>
      <c r="H63" s="68"/>
    </row>
    <row r="64" spans="1:8" ht="15" thickBot="1">
      <c r="A64" s="42">
        <v>42</v>
      </c>
      <c r="B64" s="42" t="s">
        <v>168</v>
      </c>
      <c r="C64" s="43">
        <v>4000000</v>
      </c>
      <c r="D64" s="43">
        <v>500000</v>
      </c>
      <c r="E64" s="67"/>
      <c r="F64" s="68"/>
      <c r="G64" s="67"/>
      <c r="H64" s="68"/>
    </row>
    <row r="65" spans="1:10" ht="15" thickBot="1">
      <c r="A65" s="42">
        <v>43</v>
      </c>
      <c r="B65" s="42" t="s">
        <v>169</v>
      </c>
      <c r="C65" s="43">
        <v>4250000</v>
      </c>
      <c r="D65" s="43">
        <v>650000</v>
      </c>
      <c r="E65" s="67"/>
      <c r="F65" s="68"/>
      <c r="G65" s="67"/>
      <c r="H65" s="68"/>
    </row>
    <row r="66" spans="1:10" ht="15" thickBot="1">
      <c r="A66" s="42">
        <v>44</v>
      </c>
      <c r="B66" s="42" t="s">
        <v>170</v>
      </c>
      <c r="C66" s="43">
        <v>4500000</v>
      </c>
      <c r="D66" s="43">
        <v>200000</v>
      </c>
      <c r="E66" s="67"/>
      <c r="F66" s="68"/>
      <c r="G66" s="67"/>
      <c r="H66" s="68"/>
    </row>
    <row r="67" spans="1:10" ht="15" thickBot="1">
      <c r="A67" s="42">
        <v>45</v>
      </c>
      <c r="B67" s="42" t="s">
        <v>171</v>
      </c>
      <c r="C67" s="43">
        <v>3500000</v>
      </c>
      <c r="D67" s="43">
        <v>350000</v>
      </c>
      <c r="E67" s="67"/>
      <c r="F67" s="68"/>
      <c r="G67" s="67"/>
      <c r="H67" s="68"/>
    </row>
    <row r="68" spans="1:10" ht="15" thickBot="1">
      <c r="A68" s="42">
        <v>46</v>
      </c>
      <c r="B68" s="42" t="s">
        <v>172</v>
      </c>
      <c r="C68" s="43">
        <v>3750000</v>
      </c>
      <c r="D68" s="43">
        <v>500000</v>
      </c>
      <c r="E68" s="67"/>
      <c r="F68" s="68"/>
      <c r="G68" s="67"/>
      <c r="H68" s="68"/>
    </row>
    <row r="69" spans="1:10" ht="15" thickBot="1">
      <c r="A69" s="42">
        <v>47</v>
      </c>
      <c r="B69" s="42" t="s">
        <v>173</v>
      </c>
      <c r="C69" s="43">
        <v>4000000</v>
      </c>
      <c r="D69" s="43">
        <v>650000</v>
      </c>
      <c r="E69" s="67"/>
      <c r="F69" s="68"/>
      <c r="G69" s="67"/>
      <c r="H69" s="68"/>
    </row>
    <row r="70" spans="1:10" ht="15" thickBot="1">
      <c r="A70" s="42">
        <v>48</v>
      </c>
      <c r="B70" s="42" t="s">
        <v>174</v>
      </c>
      <c r="C70" s="43">
        <v>4250000</v>
      </c>
      <c r="D70" s="43">
        <v>200000</v>
      </c>
      <c r="E70" s="67"/>
      <c r="F70" s="68"/>
      <c r="G70" s="67"/>
      <c r="H70" s="68"/>
    </row>
    <row r="71" spans="1:10" ht="15" thickBot="1">
      <c r="A71" s="42">
        <v>49</v>
      </c>
      <c r="B71" s="42" t="s">
        <v>175</v>
      </c>
      <c r="C71" s="43">
        <v>4500000</v>
      </c>
      <c r="D71" s="43">
        <v>350000</v>
      </c>
      <c r="E71" s="67"/>
      <c r="F71" s="68"/>
      <c r="G71" s="67"/>
      <c r="H71" s="68"/>
    </row>
    <row r="72" spans="1:10" ht="15" thickBot="1">
      <c r="A72" s="42">
        <v>50</v>
      </c>
      <c r="B72" s="42" t="s">
        <v>176</v>
      </c>
      <c r="C72" s="43">
        <v>3500000</v>
      </c>
      <c r="D72" s="43">
        <v>500000</v>
      </c>
      <c r="E72" s="67"/>
      <c r="F72" s="68"/>
      <c r="G72" s="67"/>
      <c r="H72" s="68"/>
    </row>
    <row r="73" spans="1:10" ht="15" thickBot="1">
      <c r="E73" s="69"/>
      <c r="F73" s="69"/>
      <c r="G73" s="69"/>
      <c r="H73" s="69"/>
    </row>
    <row r="74" spans="1:10" ht="15" thickBot="1">
      <c r="A74" s="166" t="s">
        <v>2</v>
      </c>
      <c r="B74" s="167"/>
      <c r="C74" s="167"/>
      <c r="D74" s="168"/>
      <c r="E74" s="70">
        <f>SUM(E23:E72)</f>
        <v>0</v>
      </c>
      <c r="F74" s="70">
        <f>SUM(F23:F72)</f>
        <v>0</v>
      </c>
      <c r="G74" s="70">
        <f t="shared" ref="G74:H74" si="0">SUM(G23:G72)</f>
        <v>0</v>
      </c>
      <c r="H74" s="70">
        <f t="shared" si="0"/>
        <v>0</v>
      </c>
    </row>
    <row r="77" spans="1:10" ht="15" thickBot="1"/>
    <row r="78" spans="1:10" ht="17.5" thickBot="1">
      <c r="B78" s="173" t="s">
        <v>193</v>
      </c>
      <c r="C78" s="174"/>
      <c r="D78" s="174"/>
      <c r="E78" s="174"/>
      <c r="F78" s="174"/>
      <c r="G78" s="175"/>
    </row>
    <row r="79" spans="1:10" ht="15" thickBot="1">
      <c r="B79" s="162" t="s">
        <v>194</v>
      </c>
      <c r="C79" s="176"/>
      <c r="D79" s="164" t="str">
        <f>IF(COUNT(E23:E72)=50,IF(SUMPRODUCT(--_xlfn.ISFORMULA(E23:E72),--(E23:E72=C23:C72+D23:D72))=50,"YEAY SEMUA SUDAH BENAR, GAMPANG KAN CUKUP DITAMBAHKAN","CEK LAGI, MASIH ADA RUMUS YG SALAH"),"MASIH ADA YANG BELUM DIISI")</f>
        <v>MASIH ADA YANG BELUM DIISI</v>
      </c>
      <c r="E79" s="164"/>
      <c r="F79" s="164"/>
      <c r="G79" s="164"/>
      <c r="J79" s="49"/>
    </row>
    <row r="80" spans="1:10" ht="15" customHeight="1" thickBot="1">
      <c r="B80" s="162"/>
      <c r="C80" s="176"/>
      <c r="D80" s="164"/>
      <c r="E80" s="164"/>
      <c r="F80" s="164"/>
      <c r="G80" s="164"/>
      <c r="H80" s="171" t="s">
        <v>198</v>
      </c>
      <c r="I80" s="172"/>
      <c r="J80" s="50"/>
    </row>
    <row r="81" spans="2:10" ht="15" customHeight="1" thickBot="1">
      <c r="B81" s="162" t="s">
        <v>195</v>
      </c>
      <c r="C81" s="176"/>
      <c r="D81" s="164" t="str">
        <f>IF(COUNTIF(F23:F72,"")&gt;0,"MASIH ADA YANG BELUM DIISI",IF(SUMPRODUCT(--(F23:F72=E23:E72*$C$18))=ROWS(F23:F72),"YEAY SEMUA SUDAH BENAR. BISA PAKAI TANDA $ KE SEL C18, ATAU LANGSUNG SAJA KETIK DIKALIKAN 2%","MASIH ADA YANG SALAH"))</f>
        <v>MASIH ADA YANG BELUM DIISI</v>
      </c>
      <c r="E81" s="164"/>
      <c r="F81" s="164"/>
      <c r="G81" s="165"/>
      <c r="H81" s="156" t="str">
        <f>IF(COUNTIF(D79:G86,"*benar*")=4,"✅ SELESAI","⏳ BELUM DISELESAIKAN")</f>
        <v>⏳ BELUM DISELESAIKAN</v>
      </c>
      <c r="I81" s="157"/>
      <c r="J81" s="50"/>
    </row>
    <row r="82" spans="2:10" ht="15" customHeight="1" thickBot="1">
      <c r="B82" s="162"/>
      <c r="C82" s="176"/>
      <c r="D82" s="164"/>
      <c r="E82" s="164"/>
      <c r="F82" s="164"/>
      <c r="G82" s="165"/>
      <c r="H82" s="158"/>
      <c r="I82" s="159"/>
      <c r="J82" s="50"/>
    </row>
    <row r="83" spans="2:10" ht="15" customHeight="1" thickBot="1">
      <c r="B83" s="162" t="s">
        <v>196</v>
      </c>
      <c r="C83" s="176"/>
      <c r="D83" s="164" t="str">
        <f>IF(COUNTIF(G23:G72,"")&gt;0,"MASIH ADA YANG BELUM DIISI",IF(SUMPRODUCT(--(G23:G72=E23:E72*$C$19))=ROWS(G23:G72),"YEAY SEMUA SUDAH BENAR. BISA PAKAI TANDA $ KE SEL C19, ATAU LANGSUNG SAJA KETIK DIKALIKAN 5%","MASIH ADA YANG SALAH"))</f>
        <v>MASIH ADA YANG BELUM DIISI</v>
      </c>
      <c r="E83" s="164"/>
      <c r="F83" s="164"/>
      <c r="G83" s="165"/>
      <c r="H83" s="158"/>
      <c r="I83" s="159"/>
    </row>
    <row r="84" spans="2:10" ht="15" customHeight="1" thickBot="1">
      <c r="B84" s="177"/>
      <c r="C84" s="178"/>
      <c r="D84" s="164"/>
      <c r="E84" s="164"/>
      <c r="F84" s="164"/>
      <c r="G84" s="165"/>
      <c r="H84" s="158"/>
      <c r="I84" s="159"/>
    </row>
    <row r="85" spans="2:10" ht="15" customHeight="1" thickBot="1">
      <c r="B85" s="162" t="s">
        <v>197</v>
      </c>
      <c r="C85" s="163"/>
      <c r="D85" s="164" t="str">
        <f>IF(COUNTIF(H23:H72,"")&gt;0,"MASIH ADA YANG BELUM DIISI",IF(SUMPRODUCT(--(H23:H72=E23:E72-F23:F72-G23:G72))=ROWS(H23:H72),"YEAY! Semua benar. Lanjut level terakhir YUK !.","MASIH ADA YANG SALAH"))</f>
        <v>MASIH ADA YANG BELUM DIISI</v>
      </c>
      <c r="E85" s="164"/>
      <c r="F85" s="164"/>
      <c r="G85" s="165"/>
      <c r="H85" s="160"/>
      <c r="I85" s="161"/>
    </row>
    <row r="86" spans="2:10" ht="15" customHeight="1" thickBot="1">
      <c r="B86" s="162"/>
      <c r="C86" s="163"/>
      <c r="D86" s="164"/>
      <c r="E86" s="164"/>
      <c r="F86" s="164"/>
      <c r="G86" s="164"/>
      <c r="I86" s="2"/>
    </row>
    <row r="87" spans="2:10">
      <c r="B87" s="2"/>
    </row>
    <row r="88" spans="2:10">
      <c r="B88" s="2"/>
      <c r="H88" s="71"/>
      <c r="I88" s="64"/>
    </row>
    <row r="89" spans="2:10">
      <c r="B89" s="2"/>
      <c r="H89" s="71"/>
      <c r="I89" s="64"/>
    </row>
  </sheetData>
  <sheetProtection algorithmName="SHA-512" hashValue="bVD7hQ+8FKezfcCPxkGNceOEorcGVyr8XK1l+aRoMz4WbngHidxmhmZG/tRe69o+CEb5UvoktVDvbx1XObokmw==" saltValue="y3FaGv2gUeJbNy2ntrr0kg==" spinCount="100000" sheet="1" objects="1" scenarios="1"/>
  <mergeCells count="25">
    <mergeCell ref="H81:I85"/>
    <mergeCell ref="B85:C86"/>
    <mergeCell ref="D85:G86"/>
    <mergeCell ref="A74:D74"/>
    <mergeCell ref="I1:K1"/>
    <mergeCell ref="I2:K3"/>
    <mergeCell ref="H80:I80"/>
    <mergeCell ref="D79:G80"/>
    <mergeCell ref="B78:G78"/>
    <mergeCell ref="B79:C80"/>
    <mergeCell ref="B81:C82"/>
    <mergeCell ref="D81:G82"/>
    <mergeCell ref="B83:C84"/>
    <mergeCell ref="D83:G84"/>
    <mergeCell ref="G21:G22"/>
    <mergeCell ref="H21:H22"/>
    <mergeCell ref="B1:H1"/>
    <mergeCell ref="B2:H3"/>
    <mergeCell ref="B17:C17"/>
    <mergeCell ref="A21:A22"/>
    <mergeCell ref="B21:B22"/>
    <mergeCell ref="C21:C22"/>
    <mergeCell ref="D21:D22"/>
    <mergeCell ref="E21:E22"/>
    <mergeCell ref="F21:F22"/>
  </mergeCells>
  <conditionalFormatting sqref="A1:N91">
    <cfRule type="expression" dxfId="3" priority="4">
      <formula>$O$1&lt;&gt;"kamu sudah menyelesaikan tantangan level 2 ini, ayo lanjut ke level selanjutnya !"</formula>
    </cfRule>
  </conditionalFormatting>
  <conditionalFormatting sqref="H2:I2 H1:K1 H3:H6 H7:I7 H14:K77 J78:K87 H80:I80 H81 H86:I86 H88:K88 H89:I95 H96:K1048576">
    <cfRule type="containsText" dxfId="2" priority="3" operator="containsText" text="SELESAI">
      <formula>NOT(ISERROR(SEARCH("SELESAI",H1)))</formula>
    </cfRule>
  </conditionalFormatting>
  <conditionalFormatting sqref="I2">
    <cfRule type="containsText" dxfId="1" priority="1" operator="containsText" text="BELUM DISELESAIKAN">
      <formula>NOT(ISERROR(SEARCH("BELUM DISELESAIKAN",I2)))</formula>
    </cfRule>
    <cfRule type="containsText" dxfId="0" priority="2" operator="containsText" text="SELESAI">
      <formula>NOT(ISERROR(SEARCH("SELESAI",I2)))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29DB-9B86-4DEE-9B84-E64ED0343997}">
  <dimension ref="A1:O81"/>
  <sheetViews>
    <sheetView tabSelected="1" zoomScale="115" zoomScaleNormal="115" workbookViewId="0">
      <selection activeCell="E32" sqref="E32"/>
    </sheetView>
  </sheetViews>
  <sheetFormatPr defaultRowHeight="14.5"/>
  <cols>
    <col min="1" max="1" width="22.6328125" style="2" customWidth="1"/>
    <col min="2" max="2" width="14.90625" style="2" customWidth="1"/>
    <col min="3" max="3" width="11.26953125" style="72" bestFit="1" customWidth="1"/>
    <col min="4" max="4" width="13.36328125" style="2" customWidth="1"/>
    <col min="5" max="5" width="29.08984375" customWidth="1"/>
    <col min="6" max="6" width="0.54296875" customWidth="1"/>
    <col min="9" max="9" width="17.90625" customWidth="1"/>
    <col min="10" max="10" width="38.1796875" bestFit="1" customWidth="1"/>
    <col min="11" max="11" width="23" customWidth="1"/>
    <col min="15" max="15" width="1.1796875" customWidth="1"/>
  </cols>
  <sheetData>
    <row r="1" spans="1:15" ht="22" thickBot="1">
      <c r="A1" s="180" t="s">
        <v>202</v>
      </c>
      <c r="B1" s="181"/>
      <c r="C1" s="181"/>
      <c r="D1" s="181"/>
      <c r="E1" s="182"/>
      <c r="F1" s="79"/>
      <c r="G1" s="86" t="s">
        <v>198</v>
      </c>
      <c r="H1" s="87"/>
      <c r="I1" s="88"/>
      <c r="O1" s="48" t="str">
        <f>INDEX('LEVEL 3'!I2:K3,1,1)</f>
        <v>⏳ BELUM DISELESAIKAN</v>
      </c>
    </row>
    <row r="2" spans="1:15" ht="27.5" customHeight="1" thickBot="1">
      <c r="A2" s="183" t="s">
        <v>234</v>
      </c>
      <c r="B2" s="184"/>
      <c r="C2" s="184"/>
      <c r="D2" s="184"/>
      <c r="E2" s="185"/>
      <c r="F2" s="80"/>
      <c r="G2" s="212" t="str">
        <f ca="1">I55</f>
        <v>⏳ BELUM DISELESAIKAN</v>
      </c>
      <c r="H2" s="213"/>
      <c r="I2" s="214"/>
    </row>
    <row r="3" spans="1:15">
      <c r="A3" s="186" t="s">
        <v>247</v>
      </c>
      <c r="B3" s="187"/>
      <c r="C3" s="187"/>
      <c r="D3" s="187"/>
      <c r="E3" s="188"/>
      <c r="F3" s="97"/>
    </row>
    <row r="4" spans="1:15">
      <c r="A4" s="189" t="s">
        <v>248</v>
      </c>
      <c r="B4" s="190"/>
      <c r="C4" s="190"/>
      <c r="D4" s="190"/>
      <c r="E4" s="191"/>
      <c r="F4" s="97"/>
    </row>
    <row r="5" spans="1:15" ht="15" thickBot="1">
      <c r="A5" s="192" t="s">
        <v>249</v>
      </c>
      <c r="B5" s="193"/>
      <c r="C5" s="193"/>
      <c r="D5" s="193"/>
      <c r="E5" s="194"/>
      <c r="F5" s="97"/>
    </row>
    <row r="6" spans="1:15" ht="23" customHeight="1">
      <c r="A6" s="102" t="s">
        <v>253</v>
      </c>
      <c r="F6" s="80"/>
    </row>
    <row r="7" spans="1:15">
      <c r="A7" s="73" t="s">
        <v>99</v>
      </c>
      <c r="F7" s="80"/>
    </row>
    <row r="8" spans="1:15">
      <c r="A8" s="94" t="s">
        <v>232</v>
      </c>
      <c r="F8" s="80"/>
    </row>
    <row r="9" spans="1:15">
      <c r="A9" s="92" t="s">
        <v>235</v>
      </c>
      <c r="F9" s="80"/>
    </row>
    <row r="10" spans="1:15">
      <c r="A10" s="92" t="s">
        <v>242</v>
      </c>
      <c r="F10" s="80"/>
    </row>
    <row r="11" spans="1:15">
      <c r="A11" s="1" t="s">
        <v>244</v>
      </c>
      <c r="F11" s="80"/>
    </row>
    <row r="12" spans="1:15">
      <c r="A12" s="96" t="s">
        <v>245</v>
      </c>
      <c r="F12" s="80"/>
    </row>
    <row r="13" spans="1:15">
      <c r="A13" t="s">
        <v>246</v>
      </c>
      <c r="F13" s="80"/>
    </row>
    <row r="14" spans="1:15">
      <c r="A14" t="s">
        <v>250</v>
      </c>
      <c r="F14" s="80"/>
    </row>
    <row r="15" spans="1:15">
      <c r="A15" t="s">
        <v>251</v>
      </c>
      <c r="F15" s="80"/>
    </row>
    <row r="16" spans="1:15">
      <c r="A16" s="92" t="s">
        <v>252</v>
      </c>
      <c r="F16" s="80"/>
    </row>
    <row r="17" spans="1:11">
      <c r="F17" s="80"/>
    </row>
    <row r="18" spans="1:11" ht="15" thickBot="1">
      <c r="A18" s="73" t="s">
        <v>231</v>
      </c>
      <c r="F18" s="80"/>
    </row>
    <row r="19" spans="1:11" ht="15.5" thickTop="1" thickBot="1">
      <c r="A19" s="78" t="s">
        <v>220</v>
      </c>
      <c r="B19" s="78" t="s">
        <v>216</v>
      </c>
      <c r="C19" s="78" t="s">
        <v>204</v>
      </c>
      <c r="D19" s="78" t="s">
        <v>228</v>
      </c>
      <c r="F19" s="80"/>
    </row>
    <row r="20" spans="1:11" ht="15.5" thickTop="1" thickBot="1">
      <c r="A20" s="75" t="s">
        <v>223</v>
      </c>
      <c r="B20" s="75">
        <v>25000000</v>
      </c>
      <c r="C20" s="101">
        <f>B20*'DATA LEVEL 4'!C$8</f>
        <v>2500000</v>
      </c>
      <c r="D20" s="101">
        <f>B20-C20</f>
        <v>22500000</v>
      </c>
      <c r="F20" s="80"/>
    </row>
    <row r="21" spans="1:11" ht="15.5" thickTop="1" thickBot="1">
      <c r="A21" s="98"/>
      <c r="B21" s="98"/>
      <c r="C21" s="99"/>
      <c r="D21" s="98"/>
      <c r="E21" s="100"/>
      <c r="F21" s="80"/>
    </row>
    <row r="22" spans="1:11">
      <c r="F22" s="80"/>
    </row>
    <row r="23" spans="1:11">
      <c r="F23" s="80"/>
    </row>
    <row r="24" spans="1:11">
      <c r="A24" s="74" t="s">
        <v>203</v>
      </c>
      <c r="F24" s="80"/>
      <c r="I24" s="215" t="s">
        <v>239</v>
      </c>
      <c r="J24" s="215"/>
      <c r="K24" s="215"/>
    </row>
    <row r="25" spans="1:11" ht="15" thickBot="1">
      <c r="F25" s="80"/>
      <c r="I25" s="64"/>
      <c r="J25" s="64"/>
      <c r="K25" s="64"/>
    </row>
    <row r="26" spans="1:11" ht="15.5" thickTop="1" thickBot="1">
      <c r="A26" s="207" t="s">
        <v>201</v>
      </c>
      <c r="B26" s="207" t="s">
        <v>241</v>
      </c>
      <c r="C26" s="207" t="s">
        <v>204</v>
      </c>
      <c r="D26" s="207" t="s">
        <v>228</v>
      </c>
      <c r="F26" s="80"/>
      <c r="I26" s="216" t="s">
        <v>240</v>
      </c>
      <c r="J26" s="216" t="s">
        <v>237</v>
      </c>
      <c r="K26" s="216" t="s">
        <v>238</v>
      </c>
    </row>
    <row r="27" spans="1:11" ht="15.5" thickTop="1" thickBot="1">
      <c r="A27" s="208" t="s">
        <v>205</v>
      </c>
      <c r="B27" s="208">
        <v>7500000</v>
      </c>
      <c r="C27" s="209"/>
      <c r="D27" s="209"/>
      <c r="F27" s="80"/>
      <c r="I27" s="217" t="s">
        <v>203</v>
      </c>
      <c r="J27" s="218" t="str">
        <f ca="1">IFERROR(IF(C27="","Ayo isi jawabanmu",IF(NOT(_xlfn.ISFORMULA(C27)),"Ayo isi jawabanmu",IF(ISNUMBER(SEARCH("B27*'DATA LEVEL 4'!C$4",_xlfn.FORMULATEXT(C27))),"BETUL",IF(OR(ISNUMBER(SEARCH("B27*'DATA LEVEL 4'!$C$4",_xlfn.FORMULATEXT(C27))),ISNUMBER(SEARCH("B27*'DATA LEVEL 4'!$C4",_xlfn.FORMULATEXT(C27)))),"BETUL,tapi yakin tanda $ nya disitu?",IF(ISNUMBER(SEARCH("B27*'DATA LEVEL 4'!C4",_xlfn.FORMULATEXT(C27))),"BETUL, tapi kalo gapake $ gabisa di drag ya","Rumus kamu salah ambil sel tuh"))))),"Rumus kamu salah ambil sel tuh")</f>
        <v>Ayo isi jawabanmu</v>
      </c>
      <c r="K27" s="218" t="str">
        <f ca="1">IFERROR(IF(D27="","Ayo isi jawabanmu",IF(NOT(_xlfn.ISFORMULA(D27)),"Ayo isi jawabanmu",IF(EXACT(_xlfn.FORMULATEXT(D27),"=B"&amp;ROW()&amp;"-C"&amp;ROW()),"BETUL",IF(OR(ISNUMBER(SEARCH("+",_xlfn.FORMULATEXT(D27))),ISNUMBER(SEARCH("*",_xlfn.FORMULATEXT(D27))),ISNUMBER(SEARCH("/",_xlfn.FORMULATEXT(D27)))),"salah, harusnya pakai (-)","rumusnya salah ambil sel tuh")))),"rumusnya salah ambil sel tuh")</f>
        <v>Ayo isi jawabanmu</v>
      </c>
    </row>
    <row r="28" spans="1:11" ht="15.5" thickTop="1" thickBot="1">
      <c r="A28" s="208" t="s">
        <v>229</v>
      </c>
      <c r="B28" s="208">
        <v>6900000</v>
      </c>
      <c r="C28" s="209"/>
      <c r="D28" s="209"/>
      <c r="F28" s="80"/>
      <c r="I28" s="217"/>
      <c r="J28" s="218" t="str">
        <f ca="1">IFERROR(IF(C28="","Ayo isi jawabanmu",IF(NOT(_xlfn.ISFORMULA(C28)),"Ayo isi jawabanmu",IF(ISNUMBER(SEARCH("B28*'DATA LEVEL 4'!C$4",_xlfn.FORMULATEXT(C28))),"BETUL",IF(OR(ISNUMBER(SEARCH("B28*'DATA LEVEL 4'!$C$4",_xlfn.FORMULATEXT(C28))),ISNUMBER(SEARCH("B28*'DATA LEVEL 4'!$C4",_xlfn.FORMULATEXT(C28)))),"BETUL,tapi yakin tanda $ nya disitu?",IF(ISNUMBER(SEARCH("B28*'DATA LEVEL 4'!C4",_xlfn.FORMULATEXT(C28))),"BETUL, tapi kalo gapake $ gabisa di drag ya","Rumus kamu salah ambil sel tuh"))))),"Rumus kamu salah ambil sel tuh")</f>
        <v>Ayo isi jawabanmu</v>
      </c>
      <c r="K28" s="218" t="str">
        <f t="shared" ref="K28:K31" ca="1" si="0">IFERROR(IF(D28="","Ayo isi jawabanmu",IF(NOT(_xlfn.ISFORMULA(D28)),"Ayo isi jawabanmu",IF(ISNUMBER(SEARCH("B"&amp;ROW()&amp;"-C"&amp;ROW(),_xlfn.FORMULATEXT(D28))),"BETUL",IF(OR(ISNUMBER(SEARCH("+",_xlfn.FORMULATEXT(D28))),ISNUMBER(SEARCH("*",_xlfn.FORMULATEXT(D28))),ISNUMBER(SEARCH("/",_xlfn.FORMULATEXT(D28)))),"salah, harusnya pakai (-)","Rumus kamu salah sel tuh")))),"Rumus kamu salah sel tuh")</f>
        <v>Ayo isi jawabanmu</v>
      </c>
    </row>
    <row r="29" spans="1:11" ht="15.5" thickTop="1" thickBot="1">
      <c r="A29" s="208" t="s">
        <v>206</v>
      </c>
      <c r="B29" s="208">
        <v>7800000</v>
      </c>
      <c r="C29" s="209"/>
      <c r="D29" s="209"/>
      <c r="F29" s="80"/>
      <c r="I29" s="217"/>
      <c r="J29" s="218" t="str">
        <f ca="1">IFERROR(IF(C29="","Ayo isi jawabanmu",IF(NOT(_xlfn.ISFORMULA(C29)),"Ayo isi jawabanmu",IF(ISNUMBER(SEARCH("B29*'DATA LEVEL 4'!C$4",_xlfn.FORMULATEXT(C29))),"BETUL",IF(OR(ISNUMBER(SEARCH("B29*'DATA LEVEL 4'!$C$4",_xlfn.FORMULATEXT(C29))),ISNUMBER(SEARCH("B29*'DATA LEVEL 4'!$C4",_xlfn.FORMULATEXT(C29)))),"BETUL,tapi yakin tanda $ nya disitu?",IF(ISNUMBER(SEARCH("B29*'DATA LEVEL 4'!C4",_xlfn.FORMULATEXT(C29))),"BETUL, tapi kalo gapake $ gabisa di drag ya","Rumus kamu salah ambil sel tuh"))))),"Rumus kamu salah ambil sel tuh")</f>
        <v>Ayo isi jawabanmu</v>
      </c>
      <c r="K29" s="218" t="str">
        <f t="shared" ca="1" si="0"/>
        <v>Ayo isi jawabanmu</v>
      </c>
    </row>
    <row r="30" spans="1:11" ht="15.5" thickTop="1" thickBot="1">
      <c r="A30" s="208" t="s">
        <v>233</v>
      </c>
      <c r="B30" s="208">
        <v>6600000</v>
      </c>
      <c r="C30" s="209"/>
      <c r="D30" s="209"/>
      <c r="F30" s="80"/>
      <c r="I30" s="217"/>
      <c r="J30" s="218" t="str">
        <f ca="1">IFERROR(IF(C30="","Ayo isi jawabanmu",IF(NOT(_xlfn.ISFORMULA(C30)),"Ayo isi jawabanmu",IF(ISNUMBER(SEARCH("B30*'DATA LEVEL 4'!C$4",_xlfn.FORMULATEXT(C30))),"BETUL",IF(OR(ISNUMBER(SEARCH("B30*'DATA LEVEL 4'!$C$4",_xlfn.FORMULATEXT(C30))),ISNUMBER(SEARCH("B30*'DATA LEVEL 4'!$C4",_xlfn.FORMULATEXT(C30)))),"BETUL,tapi yakin tanda $ nya disitu?",IF(ISNUMBER(SEARCH("B30*'DATA LEVEL 4'!C4",_xlfn.FORMULATEXT(C30))),"BETUL, tapi kalo gapake $ gabisa di drag ya","Rumus kamu salah ambil sel tuh"))))),"Rumus kamu salah ambil sel tuh")</f>
        <v>Ayo isi jawabanmu</v>
      </c>
      <c r="K30" s="218" t="str">
        <f t="shared" ca="1" si="0"/>
        <v>Ayo isi jawabanmu</v>
      </c>
    </row>
    <row r="31" spans="1:11" ht="15.5" thickTop="1" thickBot="1">
      <c r="A31" s="208" t="s">
        <v>230</v>
      </c>
      <c r="B31" s="208">
        <v>6200000</v>
      </c>
      <c r="C31" s="209"/>
      <c r="D31" s="209"/>
      <c r="F31" s="80"/>
      <c r="I31" s="217"/>
      <c r="J31" s="218" t="str">
        <f ca="1">IFERROR(IF(C31="","Ayo isi jawabanmu",IF(NOT(_xlfn.ISFORMULA(C31)),"Ayo isi jawabanmu",IF(ISNUMBER(SEARCH("B31*'DATA LEVEL 4'!C$4",_xlfn.FORMULATEXT(C31))),"BETUL",IF(OR(ISNUMBER(SEARCH("B31*'DATA LEVEL 4'!$C$4",_xlfn.FORMULATEXT(C31))),ISNUMBER(SEARCH("B31*'DATA LEVEL 4'!$C4",_xlfn.FORMULATEXT(C31)))),"BETUL,tapi yakin tanda $ nya disitu?",IF(ISNUMBER(SEARCH("B31*'DATA LEVEL 4'!C4",_xlfn.FORMULATEXT(C31))),"BETUL, tapi kalo gapake $ gabisa di drag ya","Rumus kamu salah ambil sel tuh"))))),"Rumus kamu salah ambil sel tuh")</f>
        <v>Ayo isi jawabanmu</v>
      </c>
      <c r="K31" s="218" t="str">
        <f t="shared" ca="1" si="0"/>
        <v>Ayo isi jawabanmu</v>
      </c>
    </row>
    <row r="32" spans="1:11" ht="15" thickTop="1">
      <c r="A32" s="69"/>
      <c r="B32" s="69"/>
      <c r="C32" s="69"/>
      <c r="D32" s="69"/>
      <c r="F32" s="80"/>
      <c r="I32" s="64"/>
      <c r="J32" s="64"/>
      <c r="K32" s="64"/>
    </row>
    <row r="33" spans="1:11">
      <c r="A33" s="69"/>
      <c r="B33" s="69"/>
      <c r="C33" s="69"/>
      <c r="D33" s="69"/>
      <c r="F33" s="80"/>
      <c r="I33" s="64"/>
      <c r="J33" s="64"/>
      <c r="K33" s="64"/>
    </row>
    <row r="34" spans="1:11">
      <c r="A34" s="210" t="s">
        <v>207</v>
      </c>
      <c r="B34" s="69"/>
      <c r="C34" s="69"/>
      <c r="D34" s="69"/>
      <c r="F34" s="80"/>
      <c r="I34" s="64"/>
      <c r="J34" s="64"/>
      <c r="K34" s="64"/>
    </row>
    <row r="35" spans="1:11" ht="15" thickBot="1">
      <c r="A35" s="69"/>
      <c r="B35" s="69"/>
      <c r="C35" s="69"/>
      <c r="D35" s="69"/>
      <c r="F35" s="80"/>
      <c r="I35" s="64"/>
      <c r="J35" s="64"/>
      <c r="K35" s="64"/>
    </row>
    <row r="36" spans="1:11" ht="15.5" thickTop="1" thickBot="1">
      <c r="A36" s="211" t="s">
        <v>208</v>
      </c>
      <c r="B36" s="211" t="s">
        <v>209</v>
      </c>
      <c r="C36" s="211" t="s">
        <v>210</v>
      </c>
      <c r="D36" s="211" t="s">
        <v>228</v>
      </c>
      <c r="F36" s="80"/>
      <c r="I36" s="216" t="s">
        <v>240</v>
      </c>
      <c r="J36" s="216" t="s">
        <v>237</v>
      </c>
      <c r="K36" s="216" t="s">
        <v>238</v>
      </c>
    </row>
    <row r="37" spans="1:11" ht="15.5" thickTop="1" thickBot="1">
      <c r="A37" s="208" t="s">
        <v>211</v>
      </c>
      <c r="B37" s="208">
        <v>20000000</v>
      </c>
      <c r="C37" s="209"/>
      <c r="D37" s="209"/>
      <c r="F37" s="80"/>
      <c r="I37" s="217" t="s">
        <v>207</v>
      </c>
      <c r="J37" s="218" t="str">
        <f ca="1">IFERROR(IF(C37="","Ayo isi jawabanmu",IF(NOT(_xlfn.ISFORMULA(C37)),"Ayo isi jawabanmu",IF(ISNUMBER(SEARCH("B37*'DATA LEVEL 4'!C$5",_xlfn.FORMULATEXT(C37))),"BETUL",IF(OR(ISNUMBER(SEARCH("B37*'DATA LEVEL 4'!$C$5",_xlfn.FORMULATEXT(C37))),ISNUMBER(SEARCH("B37*'DATA LEVEL 4'!$C5",_xlfn.FORMULATEXT(C37)))),"BETUL,tapi yakin tanda $ nya disitu?",IF(ISNUMBER(SEARCH("B37*'DATA LEVEL 4'!C5",_xlfn.FORMULATEXT(C37))),"BETUL, tapi kalo gapake $ gabisa di drag ya","Rumus kamu salah ambil sel tuh"))))),"Rumus kamu salah ambil sel tuh")</f>
        <v>Ayo isi jawabanmu</v>
      </c>
      <c r="K37" s="218" t="str">
        <f t="shared" ref="K37:K41" ca="1" si="1">IFERROR(IF(D37="","Ayo isi jawabanmu",IF(NOT(_xlfn.ISFORMULA(D37)),"Ayo isi jawabanmu",IF(ISNUMBER(SEARCH("B"&amp;ROW()&amp;"-C"&amp;ROW(),_xlfn.FORMULATEXT(D37))),"BETUL","Rumus kamu salah sel tuh"))),"Rumus kamu salah sel tuh")</f>
        <v>Ayo isi jawabanmu</v>
      </c>
    </row>
    <row r="38" spans="1:11" ht="15.5" thickTop="1" thickBot="1">
      <c r="A38" s="208" t="s">
        <v>212</v>
      </c>
      <c r="B38" s="208">
        <v>15000000</v>
      </c>
      <c r="C38" s="209"/>
      <c r="D38" s="209"/>
      <c r="F38" s="80"/>
      <c r="I38" s="217"/>
      <c r="J38" s="218" t="str">
        <f ca="1">IFERROR(IF(C38="","Ayo isi jawabanmu",IF(NOT(_xlfn.ISFORMULA(C38)),"Ayo isi jawabanmu",IF(ISNUMBER(SEARCH("B38*'DATA LEVEL 4'!C$5",_xlfn.FORMULATEXT(C38))),"BETUL",IF(OR(ISNUMBER(SEARCH("B38*'DATA LEVEL 4'!$C$5",_xlfn.FORMULATEXT(C38))),ISNUMBER(SEARCH("B38*'DATA LEVEL 4'!$C5",_xlfn.FORMULATEXT(C38)))),"BETUL,tapi yakin tanda $ nya disitu?",IF(ISNUMBER(SEARCH("B38*'DATA LEVEL 4'!C5",_xlfn.FORMULATEXT(C38))),"BETUL, tapi kalo gapake $ gabisa di drag ya","Rumus kamu salah ambil sel tuh"))))),"Rumus kamu salah ambil sel tuh")</f>
        <v>Ayo isi jawabanmu</v>
      </c>
      <c r="K38" s="218" t="str">
        <f t="shared" ca="1" si="1"/>
        <v>Ayo isi jawabanmu</v>
      </c>
    </row>
    <row r="39" spans="1:11" ht="15.5" thickTop="1" thickBot="1">
      <c r="A39" s="208" t="s">
        <v>213</v>
      </c>
      <c r="B39" s="208">
        <v>10000000</v>
      </c>
      <c r="C39" s="209"/>
      <c r="D39" s="209"/>
      <c r="F39" s="80"/>
      <c r="I39" s="217"/>
      <c r="J39" s="218" t="str">
        <f ca="1">IFERROR(IF(C39="","Ayo isi jawabanmu",IF(NOT(_xlfn.ISFORMULA(C39)),"Ayo isi jawabanmu",IF(ISNUMBER(SEARCH("B39*'DATA LEVEL 4'!C$5",_xlfn.FORMULATEXT(C39))),"BETUL",IF(OR(ISNUMBER(SEARCH("B39*'DATA LEVEL 4'!$C$5",_xlfn.FORMULATEXT(C39))),ISNUMBER(SEARCH("B39*'DATA LEVEL 4'!$C5",_xlfn.FORMULATEXT(C39)))),"BETUL,tapi yakin tanda $ nya disitu?",IF(ISNUMBER(SEARCH("B39*'DATA LEVEL 4'!C5",_xlfn.FORMULATEXT(C39))),"BETUL, tapi kalo gapake $ gabisa di drag ya","Rumus kamu salah ambil sel tuh"))))),"Rumus kamu salah ambil sel tuh")</f>
        <v>Ayo isi jawabanmu</v>
      </c>
      <c r="K39" s="218" t="str">
        <f t="shared" ca="1" si="1"/>
        <v>Ayo isi jawabanmu</v>
      </c>
    </row>
    <row r="40" spans="1:11" ht="15.5" thickTop="1" thickBot="1">
      <c r="A40" s="208" t="s">
        <v>214</v>
      </c>
      <c r="B40" s="208">
        <v>25000000</v>
      </c>
      <c r="C40" s="209"/>
      <c r="D40" s="209"/>
      <c r="F40" s="80"/>
      <c r="I40" s="217"/>
      <c r="J40" s="218" t="str">
        <f ca="1">IFERROR(IF(C40="","Ayo isi jawabanmu",IF(NOT(_xlfn.ISFORMULA(C40)),"Ayo isi jawabanmu",IF(ISNUMBER(SEARCH("B40*'DATA LEVEL 4'!C$5",_xlfn.FORMULATEXT(C40))),"BETUL",IF(OR(ISNUMBER(SEARCH("B40*'DATA LEVEL 4'!$C$5",_xlfn.FORMULATEXT(C40))),ISNUMBER(SEARCH("B40*'DATA LEVEL 4'!$C5",_xlfn.FORMULATEXT(C40)))),"BETUL,tapi yakin tanda $ nya disitu?",IF(ISNUMBER(SEARCH("B40*'DATA LEVEL 4'!C5",_xlfn.FORMULATEXT(C40))),"BETUL, tapi kalo gapake $ gabisa di drag ya","Rumus kamu salah ambil sel tuh"))))),"Rumus kamu salah ambil sel tuh")</f>
        <v>Ayo isi jawabanmu</v>
      </c>
      <c r="K40" s="218" t="str">
        <f t="shared" ca="1" si="1"/>
        <v>Ayo isi jawabanmu</v>
      </c>
    </row>
    <row r="41" spans="1:11" ht="15.5" thickTop="1" thickBot="1">
      <c r="A41" s="208" t="s">
        <v>215</v>
      </c>
      <c r="B41" s="208">
        <v>18000000</v>
      </c>
      <c r="C41" s="209"/>
      <c r="D41" s="209"/>
      <c r="F41" s="80"/>
      <c r="I41" s="217"/>
      <c r="J41" s="218" t="str">
        <f ca="1">IFERROR(IF(C41="","Ayo isi jawabanmu",IF(NOT(_xlfn.ISFORMULA(C41)),"Ayo isi jawabanmu",IF(ISNUMBER(SEARCH("B41*'DATA LEVEL 4'!C$5",_xlfn.FORMULATEXT(C41))),"BETUL",IF(OR(ISNUMBER(SEARCH("B41*'DATA LEVEL 4'!$C$5",_xlfn.FORMULATEXT(C41))),ISNUMBER(SEARCH("B41*'DATA LEVEL 4'!$C5",_xlfn.FORMULATEXT(C41)))),"BETUL,tapi yakin tanda $ nya disitu?",IF(ISNUMBER(SEARCH("B41*'DATA LEVEL 4'!C5",_xlfn.FORMULATEXT(C41))),"BETUL, tapi kalo gapake $ gabisa di drag ya","Rumus kamu salah ambil sel tuh"))))),"Rumus kamu salah ambil sel tuh")</f>
        <v>Ayo isi jawabanmu</v>
      </c>
      <c r="K41" s="218" t="str">
        <f t="shared" ca="1" si="1"/>
        <v>Ayo isi jawabanmu</v>
      </c>
    </row>
    <row r="42" spans="1:11" ht="15" thickTop="1">
      <c r="A42" s="69"/>
      <c r="B42" s="69"/>
      <c r="C42" s="69"/>
      <c r="D42" s="69"/>
      <c r="F42" s="80"/>
      <c r="I42" s="64"/>
      <c r="J42" s="64"/>
      <c r="K42" s="64"/>
    </row>
    <row r="43" spans="1:11" ht="14.5" customHeight="1">
      <c r="A43" s="69"/>
      <c r="B43" s="69"/>
      <c r="C43" s="69"/>
      <c r="D43" s="69"/>
      <c r="F43" s="80"/>
      <c r="I43" s="64"/>
      <c r="J43" s="64"/>
      <c r="K43" s="64"/>
    </row>
    <row r="44" spans="1:11">
      <c r="A44" s="210" t="s">
        <v>227</v>
      </c>
      <c r="B44" s="69"/>
      <c r="C44" s="69"/>
      <c r="D44" s="69"/>
      <c r="F44" s="80"/>
      <c r="I44" s="64"/>
      <c r="J44" s="64"/>
      <c r="K44" s="64"/>
    </row>
    <row r="45" spans="1:11" ht="15" thickBot="1">
      <c r="A45" s="69"/>
      <c r="B45" s="69"/>
      <c r="C45" s="69"/>
      <c r="D45" s="69"/>
      <c r="F45" s="80"/>
      <c r="I45" s="64"/>
      <c r="J45" s="64"/>
      <c r="K45" s="64"/>
    </row>
    <row r="46" spans="1:11" ht="15.5" thickTop="1" thickBot="1">
      <c r="A46" s="211" t="s">
        <v>220</v>
      </c>
      <c r="B46" s="211" t="s">
        <v>216</v>
      </c>
      <c r="C46" s="211" t="s">
        <v>217</v>
      </c>
      <c r="D46" s="211" t="s">
        <v>228</v>
      </c>
      <c r="F46" s="80"/>
      <c r="I46" s="216" t="s">
        <v>240</v>
      </c>
      <c r="J46" s="216" t="s">
        <v>237</v>
      </c>
      <c r="K46" s="216" t="s">
        <v>238</v>
      </c>
    </row>
    <row r="47" spans="1:11" ht="18" customHeight="1" thickTop="1" thickBot="1">
      <c r="A47" s="208" t="s">
        <v>218</v>
      </c>
      <c r="B47" s="208">
        <v>40000000</v>
      </c>
      <c r="C47" s="209"/>
      <c r="D47" s="209"/>
      <c r="F47" s="80"/>
      <c r="I47" s="219" t="s">
        <v>227</v>
      </c>
      <c r="J47" s="218" t="str">
        <f ca="1">IFERROR(IF(C47="","ayo isi jawabanmu",IF(NOT(_xlfn.ISFORMULA(C47)),"ayo isi jawabanmu",IF(ISNUMBER(SEARCH("B47*'DATA LEVEL 4'!$C6",_xlfn.FORMULATEXT(C47))),"BETUL",IF(ISNUMBER(SEARCH("B47*'DATA LEVEL 4'!C6",_xlfn.FORMULATEXT(C47))),"BETUL",IF(OR(ISNUMBER(SEARCH("C$6",_xlfn.FORMULATEXT(C47))),ISNUMBER(SEARCH("$C$6",_xlfn.FORMULATEXT(C47)))),"BETUL, tapi yakin tanda $ nya disitu?","rumus kamu salah ambil sel tuh"))))),"ayo isi jawabanmu")</f>
        <v>ayo isi jawabanmu</v>
      </c>
      <c r="K47" s="218" t="str">
        <f t="shared" ref="K47:K51" ca="1" si="2">IFERROR(IF(D47="","Ayo isi jawabanmu",IF(NOT(_xlfn.ISFORMULA(D47)),"Ayo isi jawabanmu",IF(ISNUMBER(SEARCH("B"&amp;ROW()&amp;"-C"&amp;ROW(),_xlfn.FORMULATEXT(D47))),"BETUL","Rumus kamu salah sel tuh"))),"Rumus kamu salah sel tuh")</f>
        <v>Ayo isi jawabanmu</v>
      </c>
    </row>
    <row r="48" spans="1:11" ht="18" customHeight="1" thickTop="1" thickBot="1">
      <c r="A48" s="208" t="s">
        <v>219</v>
      </c>
      <c r="B48" s="208">
        <v>30000000</v>
      </c>
      <c r="C48" s="209"/>
      <c r="D48" s="209"/>
      <c r="F48" s="80"/>
      <c r="I48" s="220"/>
      <c r="J48" s="218" t="str">
        <f ca="1">IFERROR(IF(C48="","ayo isi jawabanmu",IF(NOT(_xlfn.ISFORMULA(C48)),"ayo isi jawabanmu",IF(ISNUMBER(SEARCH("B48*'DATA LEVEL 4'!$C7",_xlfn.FORMULATEXT(C48))),"BETUL",IF(ISNUMBER(SEARCH("B48*'DATA LEVEL 4'!C7",_xlfn.FORMULATEXT(C48))),"BETUL",IF(OR(ISNUMBER(SEARCH("C$7",_xlfn.FORMULATEXT(C48))),ISNUMBER(SEARCH("$C$7",_xlfn.FORMULATEXT(C48)))),"BETUL, tapi yakin tanda $ nya disitu?","rumus kamu salah ambil sel tuh"))))),"ayo isi jawabanmu")</f>
        <v>ayo isi jawabanmu</v>
      </c>
      <c r="K48" s="218" t="str">
        <f t="shared" ca="1" si="2"/>
        <v>Ayo isi jawabanmu</v>
      </c>
    </row>
    <row r="49" spans="1:11" ht="15.5" thickTop="1" thickBot="1">
      <c r="A49" s="208" t="s">
        <v>223</v>
      </c>
      <c r="B49" s="208">
        <v>10000000</v>
      </c>
      <c r="C49" s="209"/>
      <c r="D49" s="209"/>
      <c r="F49" s="80"/>
      <c r="I49" s="220"/>
      <c r="J49" s="218" t="str">
        <f ca="1">IFERROR(IF(C49="","ayo isi jawabanmu",IF(NOT(_xlfn.ISFORMULA(C49)),"ayo isi jawabanmu",IF(ISNUMBER(SEARCH("B49*'DATA LEVEL 4'!$C8",_xlfn.FORMULATEXT(C49))),"BETUL",IF(ISNUMBER(SEARCH("B49*'DATA LEVEL 4'!C8",_xlfn.FORMULATEXT(C49))),"BETUL",IF(OR(ISNUMBER(SEARCH("C$8",_xlfn.FORMULATEXT(C49))),ISNUMBER(SEARCH("$C$8",_xlfn.FORMULATEXT(C49)))),"BETUL, tapi yakin tanda $ nya disitu?","rumus kamu salah ambil sel tuh"))))),"ayo isi jawabanmu")</f>
        <v>ayo isi jawabanmu</v>
      </c>
      <c r="K49" s="218" t="str">
        <f t="shared" ca="1" si="2"/>
        <v>Ayo isi jawabanmu</v>
      </c>
    </row>
    <row r="50" spans="1:11" ht="15.5" thickTop="1" thickBot="1">
      <c r="A50" s="208" t="s">
        <v>224</v>
      </c>
      <c r="B50" s="208">
        <v>15000000</v>
      </c>
      <c r="C50" s="209"/>
      <c r="D50" s="209"/>
      <c r="F50" s="80"/>
      <c r="I50" s="220"/>
      <c r="J50" s="218" t="str">
        <f ca="1">IFERROR(IF(C50="","ayo isi jawabanmu",IF(NOT(_xlfn.ISFORMULA(C50)),"ayo isi jawabanmu",IF(ISNUMBER(SEARCH("B50*'DATA LEVEL 4'!$C9",_xlfn.FORMULATEXT(C50))),"BETUL",IF(ISNUMBER(SEARCH("B50*'DATA LEVEL 4'!C9",_xlfn.FORMULATEXT(C50))),"BETUL",IF(OR(ISNUMBER(SEARCH("C$9",_xlfn.FORMULATEXT(C50))),ISNUMBER(SEARCH("$C$9",_xlfn.FORMULATEXT(C50)))),"BETUL, tapi yakin tanda $ nya disitu?","rumus kamu salah ambil sel tuh"))))),"ayo isi jawabanmu")</f>
        <v>ayo isi jawabanmu</v>
      </c>
      <c r="K50" s="218" t="str">
        <f t="shared" ca="1" si="2"/>
        <v>Ayo isi jawabanmu</v>
      </c>
    </row>
    <row r="51" spans="1:11" ht="15.5" thickTop="1" thickBot="1">
      <c r="A51" s="208" t="s">
        <v>225</v>
      </c>
      <c r="B51" s="208">
        <v>25000000</v>
      </c>
      <c r="C51" s="209"/>
      <c r="D51" s="209"/>
      <c r="F51" s="80"/>
      <c r="I51" s="220"/>
      <c r="J51" s="218" t="str">
        <f ca="1">IFERROR(IF(C51="","ayo isi jawabanmu",IF(NOT(_xlfn.ISFORMULA(C51)),"ayo isi jawabanmu",IF(ISNUMBER(SEARCH("B51*'DATA LEVEL 4'!$C10",_xlfn.FORMULATEXT(C51))),"BETUL",IF(ISNUMBER(SEARCH("B51*'DATA LEVEL 4'!C10",_xlfn.FORMULATEXT(C51))),"BETUL",IF(OR(ISNUMBER(SEARCH("C$10",_xlfn.FORMULATEXT(C51))),ISNUMBER(SEARCH("$C$10",_xlfn.FORMULATEXT(C51)))),"BETUL, tapi yakin tanda $ nya disitu?","rumus kamu salah ambil sel tuh"))))),"ayo isi jawabanmu")</f>
        <v>ayo isi jawabanmu</v>
      </c>
      <c r="K51" s="218" t="str">
        <f t="shared" ca="1" si="2"/>
        <v>Ayo isi jawabanmu</v>
      </c>
    </row>
    <row r="52" spans="1:11" ht="15.5" thickTop="1" thickBot="1">
      <c r="A52" s="208" t="s">
        <v>226</v>
      </c>
      <c r="B52" s="208">
        <v>8000000</v>
      </c>
      <c r="C52" s="209"/>
      <c r="D52" s="209"/>
      <c r="F52" s="80"/>
      <c r="I52" s="221"/>
      <c r="J52" s="218" t="str">
        <f ca="1">IFERROR(IF(C52="","ayo isi jawabanmu",IF(NOT(_xlfn.ISFORMULA(C52)),"ayo isi jawabanmu",IF(ISNUMBER(SEARCH("B52*'DATA LEVEL 4'!$C11",_xlfn.FORMULATEXT(C52))),"BETUL",IF(ISNUMBER(SEARCH("B52*'DATA LEVEL 4'!C11",_xlfn.FORMULATEXT(C52))),"BETUL",IF(OR(ISNUMBER(SEARCH("C$11",_xlfn.FORMULATEXT(C52))),ISNUMBER(SEARCH("$C$11",_xlfn.FORMULATEXT(C52)))),"BETUL, tapi yakin tanda $ nya disitu?","rumus kamu salah ambil sel tuh"))))),"ayo isi jawabanmu")</f>
        <v>ayo isi jawabanmu</v>
      </c>
      <c r="K52" s="218" t="str">
        <f ca="1">IFERROR(IF(D52="","Ayo isi jawabanmu",IF(NOT(_xlfn.ISFORMULA(D52)),"Ayo isi jawabanmu",IF(ISNUMBER(SEARCH("B"&amp;ROW()&amp;"-C"&amp;ROW(),_xlfn.FORMULATEXT(D52))),"BETUL","Rumus kamu salah sel tuh"))),"Rumus kamu salah sel tuh")</f>
        <v>Ayo isi jawabanmu</v>
      </c>
    </row>
    <row r="53" spans="1:11" ht="15.5" thickTop="1" thickBot="1">
      <c r="A53" s="69"/>
      <c r="B53" s="69"/>
      <c r="C53" s="69"/>
      <c r="D53" s="69"/>
      <c r="F53" s="80"/>
      <c r="I53" s="64"/>
      <c r="J53" s="64"/>
      <c r="K53" s="64"/>
    </row>
    <row r="54" spans="1:11">
      <c r="F54" s="80"/>
      <c r="I54" s="222" t="s">
        <v>198</v>
      </c>
      <c r="J54" s="223"/>
      <c r="K54" s="224"/>
    </row>
    <row r="55" spans="1:11" ht="15" thickBot="1">
      <c r="F55" s="80"/>
      <c r="I55" s="225" t="str">
        <f ca="1">IF(COUNTIF(J27:J31,"*BETUL*")+COUNTIF(J37:J41,"*BETUL*")+COUNTIF(J47:J52,"*BETUL*")=16,"✅ SELESAI","⏳ BELUM DISELESAIKAN")</f>
        <v>⏳ BELUM DISELESAIKAN</v>
      </c>
      <c r="J55" s="226"/>
      <c r="K55" s="227"/>
    </row>
    <row r="56" spans="1:11" ht="2.5" customHeight="1" thickBot="1">
      <c r="A56" s="81"/>
      <c r="B56" s="83"/>
      <c r="C56" s="82"/>
      <c r="D56" s="83"/>
      <c r="E56" s="84"/>
      <c r="F56" s="85"/>
    </row>
    <row r="59" spans="1:11" ht="14.5" customHeight="1">
      <c r="I59" s="179" t="str">
        <f ca="1">IF(I55="✅ SELESAI","YEAY! Semua sudah benar 🎉
Terima kasih sudah menyelesaikan latihan di Chapter 4.
Nantikan file latihan di chapter selanjutnya ya!
Pasti bakal lebih seru dan semakin sesuai dengan kebutuhan di tempat kerja.","-")</f>
        <v>-</v>
      </c>
      <c r="J59" s="179"/>
      <c r="K59" s="179"/>
    </row>
    <row r="60" spans="1:11">
      <c r="I60" s="179"/>
      <c r="J60" s="179"/>
      <c r="K60" s="179"/>
    </row>
    <row r="61" spans="1:11">
      <c r="I61" s="179"/>
      <c r="J61" s="179"/>
      <c r="K61" s="179"/>
    </row>
    <row r="62" spans="1:11">
      <c r="E62" s="2"/>
      <c r="I62" s="179"/>
      <c r="J62" s="179"/>
      <c r="K62" s="179"/>
    </row>
    <row r="63" spans="1:11">
      <c r="E63" s="2"/>
      <c r="I63" s="179"/>
      <c r="J63" s="179"/>
      <c r="K63" s="179"/>
    </row>
    <row r="64" spans="1:11">
      <c r="E64" s="2"/>
    </row>
    <row r="65" spans="5:5">
      <c r="E65" s="2"/>
    </row>
    <row r="66" spans="5:5">
      <c r="E66" s="2"/>
    </row>
    <row r="67" spans="5:5">
      <c r="E67" s="2"/>
    </row>
    <row r="68" spans="5:5">
      <c r="E68" s="2"/>
    </row>
    <row r="69" spans="5:5" ht="10.5" customHeight="1">
      <c r="E69" s="2"/>
    </row>
    <row r="70" spans="5:5">
      <c r="E70" s="2"/>
    </row>
    <row r="71" spans="5:5">
      <c r="E71" s="2"/>
    </row>
    <row r="72" spans="5:5">
      <c r="E72" s="2"/>
    </row>
    <row r="73" spans="5:5">
      <c r="E73" s="2"/>
    </row>
    <row r="74" spans="5:5">
      <c r="E74" s="2"/>
    </row>
    <row r="75" spans="5:5" ht="8" customHeight="1">
      <c r="E75" s="2"/>
    </row>
    <row r="76" spans="5:5">
      <c r="E76" s="2"/>
    </row>
    <row r="77" spans="5:5">
      <c r="E77" s="2"/>
    </row>
    <row r="78" spans="5:5">
      <c r="E78" s="2"/>
    </row>
    <row r="79" spans="5:5">
      <c r="E79" s="2"/>
    </row>
    <row r="80" spans="5:5">
      <c r="E80" s="2"/>
    </row>
    <row r="81" spans="5:5">
      <c r="E81" s="2"/>
    </row>
  </sheetData>
  <sheetProtection algorithmName="SHA-512" hashValue="Pxzyg3zNhwBlGE8miq9GjO9hJWCC8r8O6GpNee1AHw4rLbG7eDpaRnNI4H9kmODoiYHns/86zmwGZZ55ScOlsw==" saltValue="3CZ9ktR3/Ipf8vnSQkHR2Q==" spinCount="100000" sheet="1" objects="1" scenarios="1"/>
  <mergeCells count="13">
    <mergeCell ref="I59:K63"/>
    <mergeCell ref="G2:I2"/>
    <mergeCell ref="A1:E1"/>
    <mergeCell ref="A2:E2"/>
    <mergeCell ref="I47:I52"/>
    <mergeCell ref="I27:I31"/>
    <mergeCell ref="I37:I41"/>
    <mergeCell ref="I24:K24"/>
    <mergeCell ref="A3:E3"/>
    <mergeCell ref="A4:E4"/>
    <mergeCell ref="A5:E5"/>
    <mergeCell ref="I54:K54"/>
    <mergeCell ref="I55:K55"/>
  </mergeCells>
  <conditionalFormatting sqref="A1:L63">
    <cfRule type="expression" dxfId="5" priority="2">
      <formula>ISNUMBER(SEARCH("BELUM",$O$1))</formula>
    </cfRule>
  </conditionalFormatting>
  <conditionalFormatting sqref="J1:K58 J64:K1048576">
    <cfRule type="containsText" dxfId="4" priority="1" operator="containsText" text="BETUL">
      <formula>NOT(ISERROR(SEARCH("BETUL",J1)))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3FCC-7A15-44C6-A457-47CE29B56802}">
  <dimension ref="B2:C12"/>
  <sheetViews>
    <sheetView workbookViewId="0">
      <selection activeCell="G8" sqref="G8"/>
    </sheetView>
  </sheetViews>
  <sheetFormatPr defaultRowHeight="14.5"/>
  <cols>
    <col min="2" max="2" width="15.90625" bestFit="1" customWidth="1"/>
    <col min="3" max="3" width="13.1796875" style="3" customWidth="1"/>
  </cols>
  <sheetData>
    <row r="2" spans="2:3" ht="15" thickBot="1">
      <c r="B2" s="95" t="s">
        <v>243</v>
      </c>
    </row>
    <row r="3" spans="2:3" ht="15.5" thickTop="1" thickBot="1">
      <c r="B3" s="77" t="s">
        <v>220</v>
      </c>
      <c r="C3" s="89" t="s">
        <v>236</v>
      </c>
    </row>
    <row r="4" spans="2:3" ht="15.5" thickTop="1" thickBot="1">
      <c r="B4" s="76" t="s">
        <v>221</v>
      </c>
      <c r="C4" s="90">
        <v>0.05</v>
      </c>
    </row>
    <row r="5" spans="2:3" ht="15.5" thickTop="1" thickBot="1">
      <c r="B5" s="76" t="s">
        <v>222</v>
      </c>
      <c r="C5" s="90">
        <v>0.02</v>
      </c>
    </row>
    <row r="6" spans="2:3" ht="15.5" thickTop="1" thickBot="1">
      <c r="B6" s="76" t="s">
        <v>218</v>
      </c>
      <c r="C6" s="91">
        <v>2.5000000000000001E-2</v>
      </c>
    </row>
    <row r="7" spans="2:3" ht="15.5" thickTop="1" thickBot="1">
      <c r="B7" s="76" t="s">
        <v>219</v>
      </c>
      <c r="C7" s="91">
        <v>5.0000000000000001E-3</v>
      </c>
    </row>
    <row r="8" spans="2:3" ht="15.5" thickTop="1" thickBot="1">
      <c r="B8" s="76" t="s">
        <v>223</v>
      </c>
      <c r="C8" s="90">
        <v>0.1</v>
      </c>
    </row>
    <row r="9" spans="2:3" ht="15.5" thickTop="1" thickBot="1">
      <c r="B9" s="76" t="s">
        <v>224</v>
      </c>
      <c r="C9" s="90">
        <v>0.2</v>
      </c>
    </row>
    <row r="10" spans="2:3" ht="15.5" thickTop="1" thickBot="1">
      <c r="B10" s="76" t="s">
        <v>225</v>
      </c>
      <c r="C10" s="91">
        <v>1.2E-2</v>
      </c>
    </row>
    <row r="11" spans="2:3" ht="15.5" thickTop="1" thickBot="1">
      <c r="B11" s="76" t="s">
        <v>226</v>
      </c>
      <c r="C11" s="90">
        <v>0.25</v>
      </c>
    </row>
    <row r="12" spans="2:3" ht="15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CATATAN</vt:lpstr>
      <vt:lpstr>LEVEL 1</vt:lpstr>
      <vt:lpstr>LEVEL 2</vt:lpstr>
      <vt:lpstr>LEVEL 3</vt:lpstr>
      <vt:lpstr>LEVEL 4</vt:lpstr>
      <vt:lpstr>DATA LEVEL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2026-01-01T09:05:24Z</dcterms:created>
  <dcterms:modified xsi:type="dcterms:W3CDTF">2026-02-02T17:40:19Z</dcterms:modified>
</cp:coreProperties>
</file>